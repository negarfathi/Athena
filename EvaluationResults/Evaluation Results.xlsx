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fathi2/Documents/Athena/Major Revision/Evaluation Results/"/>
    </mc:Choice>
  </mc:AlternateContent>
  <xr:revisionPtr revIDLastSave="0" documentId="13_ncr:1_{0C83E046-92D0-FD43-A8D9-7AF4367FF103}" xr6:coauthVersionLast="47" xr6:coauthVersionMax="47" xr10:uidLastSave="{00000000-0000-0000-0000-000000000000}"/>
  <bookViews>
    <workbookView xWindow="0" yWindow="760" windowWidth="30240" windowHeight="18700" xr2:uid="{2BF95D86-077F-DA49-A802-B4C67009B5C1}"/>
  </bookViews>
  <sheets>
    <sheet name="TermCOMP" sheetId="2" r:id="rId1"/>
    <sheet name="FSE" sheetId="1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3" l="1"/>
  <c r="D43" i="3"/>
  <c r="F43" i="3"/>
  <c r="O111" i="3"/>
  <c r="P111" i="3"/>
  <c r="G111" i="3"/>
  <c r="P91" i="3" a="1"/>
  <c r="P91" i="3" s="1"/>
  <c r="O91" i="3" a="1"/>
  <c r="O91" i="3" s="1"/>
  <c r="G91" i="3" a="1"/>
  <c r="G91" i="3" s="1"/>
  <c r="P81" i="3" a="1"/>
  <c r="P81" i="3" s="1"/>
  <c r="O81" i="3" a="1"/>
  <c r="O81" i="3" s="1"/>
  <c r="G81" i="3" a="1"/>
  <c r="G81" i="3" s="1"/>
  <c r="O96" i="3" a="1"/>
  <c r="O96" i="3" s="1"/>
  <c r="P96" i="3" a="1"/>
  <c r="P96" i="3" s="1"/>
  <c r="G96" i="3" a="1"/>
  <c r="G96" i="3" s="1"/>
  <c r="L101" i="3"/>
  <c r="K2" i="1"/>
  <c r="C43" i="3"/>
  <c r="C47" i="3"/>
  <c r="D47" i="3"/>
  <c r="T14" i="3"/>
  <c r="T13" i="3"/>
  <c r="T12" i="3"/>
  <c r="T11" i="3"/>
  <c r="T10" i="3"/>
  <c r="T9" i="3"/>
  <c r="T8" i="3"/>
  <c r="T7" i="3"/>
  <c r="T6" i="3"/>
  <c r="T5" i="3"/>
  <c r="T4" i="3"/>
  <c r="T3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102" i="3" a="1"/>
  <c r="D102" i="3" s="1"/>
  <c r="D97" i="3" a="1"/>
  <c r="D97" i="3" s="1"/>
  <c r="N106" i="3" a="1"/>
  <c r="N106" i="3" s="1"/>
  <c r="N105" i="3" a="1"/>
  <c r="N105" i="3" s="1"/>
  <c r="N104" i="3" a="1"/>
  <c r="N104" i="3" s="1"/>
  <c r="N101" i="3" a="1"/>
  <c r="N101" i="3" s="1"/>
  <c r="N100" i="3" a="1"/>
  <c r="N100" i="3" s="1"/>
  <c r="N99" i="3" a="1"/>
  <c r="N99" i="3" s="1"/>
  <c r="N96" i="3" a="1"/>
  <c r="N96" i="3" s="1"/>
  <c r="N95" i="3" a="1"/>
  <c r="N95" i="3" s="1"/>
  <c r="N94" i="3" a="1"/>
  <c r="N94" i="3" s="1"/>
  <c r="N91" i="3" a="1"/>
  <c r="N91" i="3" s="1"/>
  <c r="N90" i="3" a="1"/>
  <c r="N90" i="3" s="1"/>
  <c r="N89" i="3" a="1"/>
  <c r="N89" i="3" s="1"/>
  <c r="N86" i="3" a="1"/>
  <c r="N86" i="3" s="1"/>
  <c r="N85" i="3" a="1"/>
  <c r="N85" i="3" s="1"/>
  <c r="N84" i="3" a="1"/>
  <c r="N84" i="3" s="1"/>
  <c r="N81" i="3" a="1"/>
  <c r="N81" i="3" s="1"/>
  <c r="N80" i="3" a="1"/>
  <c r="N80" i="3" s="1"/>
  <c r="N79" i="3" a="1"/>
  <c r="N79" i="3" s="1"/>
  <c r="N77" i="3" a="1"/>
  <c r="N77" i="3" s="1"/>
  <c r="M106" i="3" a="1"/>
  <c r="M106" i="3" s="1"/>
  <c r="M105" i="3" a="1"/>
  <c r="M105" i="3" s="1"/>
  <c r="M104" i="3" a="1"/>
  <c r="M104" i="3" s="1"/>
  <c r="M101" i="3" a="1"/>
  <c r="M101" i="3" s="1"/>
  <c r="M100" i="3" a="1"/>
  <c r="M100" i="3" s="1"/>
  <c r="M99" i="3" a="1"/>
  <c r="M99" i="3" s="1"/>
  <c r="M96" i="3" a="1"/>
  <c r="M96" i="3" s="1"/>
  <c r="M95" i="3" a="1"/>
  <c r="M95" i="3" s="1"/>
  <c r="M94" i="3" a="1"/>
  <c r="M94" i="3" s="1"/>
  <c r="M91" i="3" a="1"/>
  <c r="M91" i="3" s="1"/>
  <c r="M90" i="3" a="1"/>
  <c r="M90" i="3" s="1"/>
  <c r="M89" i="3" a="1"/>
  <c r="M89" i="3" s="1"/>
  <c r="M86" i="3" a="1"/>
  <c r="M86" i="3" s="1"/>
  <c r="M85" i="3" a="1"/>
  <c r="M85" i="3" s="1"/>
  <c r="M84" i="3" a="1"/>
  <c r="M84" i="3" s="1"/>
  <c r="M81" i="3" a="1"/>
  <c r="M81" i="3" s="1"/>
  <c r="M80" i="3" a="1"/>
  <c r="M80" i="3" s="1"/>
  <c r="M79" i="3" a="1"/>
  <c r="M79" i="3" s="1"/>
  <c r="L106" i="3" a="1"/>
  <c r="L106" i="3" s="1"/>
  <c r="L105" i="3" a="1"/>
  <c r="L105" i="3" s="1"/>
  <c r="L104" i="3" a="1"/>
  <c r="L104" i="3" s="1"/>
  <c r="L100" i="3" a="1"/>
  <c r="L100" i="3" s="1"/>
  <c r="L99" i="3" a="1"/>
  <c r="L99" i="3" s="1"/>
  <c r="L96" i="3" a="1"/>
  <c r="L96" i="3" s="1"/>
  <c r="L95" i="3" a="1"/>
  <c r="L95" i="3" s="1"/>
  <c r="L94" i="3" a="1"/>
  <c r="L94" i="3" s="1"/>
  <c r="L91" i="3" a="1"/>
  <c r="L91" i="3" s="1"/>
  <c r="L90" i="3" a="1"/>
  <c r="L90" i="3" s="1"/>
  <c r="L89" i="3" a="1"/>
  <c r="L89" i="3" s="1"/>
  <c r="L86" i="3" a="1"/>
  <c r="L86" i="3" s="1"/>
  <c r="L85" i="3" a="1"/>
  <c r="L85" i="3" s="1"/>
  <c r="L84" i="3" a="1"/>
  <c r="L84" i="3" s="1"/>
  <c r="L81" i="3" a="1"/>
  <c r="L81" i="3" s="1"/>
  <c r="L80" i="3" a="1"/>
  <c r="L80" i="3" s="1"/>
  <c r="L79" i="3" a="1"/>
  <c r="L79" i="3" s="1"/>
  <c r="K106" i="3" a="1"/>
  <c r="K106" i="3" s="1"/>
  <c r="K105" i="3" a="1"/>
  <c r="K105" i="3" s="1"/>
  <c r="K104" i="3" a="1"/>
  <c r="K104" i="3" s="1"/>
  <c r="K101" i="3" a="1"/>
  <c r="K101" i="3" s="1"/>
  <c r="K100" i="3" a="1"/>
  <c r="K100" i="3" s="1"/>
  <c r="K99" i="3" a="1"/>
  <c r="K99" i="3" s="1"/>
  <c r="K96" i="3" a="1"/>
  <c r="K96" i="3" s="1"/>
  <c r="K95" i="3" a="1"/>
  <c r="K95" i="3" s="1"/>
  <c r="K94" i="3" a="1"/>
  <c r="K94" i="3" s="1"/>
  <c r="K91" i="3" a="1"/>
  <c r="K91" i="3" s="1"/>
  <c r="K90" i="3" a="1"/>
  <c r="K90" i="3" s="1"/>
  <c r="K89" i="3" a="1"/>
  <c r="K89" i="3" s="1"/>
  <c r="K86" i="3" a="1"/>
  <c r="K86" i="3" s="1"/>
  <c r="K85" i="3" a="1"/>
  <c r="K85" i="3" s="1"/>
  <c r="K84" i="3" a="1"/>
  <c r="K84" i="3" s="1"/>
  <c r="K81" i="3" a="1"/>
  <c r="K81" i="3" s="1"/>
  <c r="K80" i="3" a="1"/>
  <c r="K80" i="3" s="1"/>
  <c r="K79" i="3" a="1"/>
  <c r="K79" i="3" s="1"/>
  <c r="J106" i="3" a="1"/>
  <c r="J106" i="3" s="1"/>
  <c r="J105" i="3" a="1"/>
  <c r="J105" i="3" s="1"/>
  <c r="J104" i="3" a="1"/>
  <c r="J104" i="3" s="1"/>
  <c r="J101" i="3" a="1"/>
  <c r="J101" i="3" s="1"/>
  <c r="J100" i="3" a="1"/>
  <c r="J100" i="3" s="1"/>
  <c r="J99" i="3" a="1"/>
  <c r="J99" i="3" s="1"/>
  <c r="J96" i="3" a="1"/>
  <c r="J96" i="3" s="1"/>
  <c r="J95" i="3" a="1"/>
  <c r="J95" i="3" s="1"/>
  <c r="J94" i="3" a="1"/>
  <c r="J94" i="3" s="1"/>
  <c r="J91" i="3" a="1"/>
  <c r="J91" i="3" s="1"/>
  <c r="J90" i="3" a="1"/>
  <c r="J90" i="3" s="1"/>
  <c r="J89" i="3" a="1"/>
  <c r="J89" i="3" s="1"/>
  <c r="J86" i="3" a="1"/>
  <c r="J86" i="3" s="1"/>
  <c r="J85" i="3" a="1"/>
  <c r="J85" i="3" s="1"/>
  <c r="J84" i="3" a="1"/>
  <c r="J84" i="3" s="1"/>
  <c r="J81" i="3" a="1"/>
  <c r="J81" i="3" s="1"/>
  <c r="J80" i="3" a="1"/>
  <c r="J80" i="3" s="1"/>
  <c r="J79" i="3" a="1"/>
  <c r="J79" i="3" s="1"/>
  <c r="I106" i="3" a="1"/>
  <c r="I106" i="3" s="1"/>
  <c r="I105" i="3" a="1"/>
  <c r="I105" i="3" s="1"/>
  <c r="I104" i="3" a="1"/>
  <c r="I104" i="3" s="1"/>
  <c r="I101" i="3" a="1"/>
  <c r="I101" i="3" s="1"/>
  <c r="I100" i="3" a="1"/>
  <c r="I100" i="3" s="1"/>
  <c r="I99" i="3" a="1"/>
  <c r="I99" i="3" s="1"/>
  <c r="I96" i="3" a="1"/>
  <c r="I96" i="3" s="1"/>
  <c r="I95" i="3" a="1"/>
  <c r="I95" i="3" s="1"/>
  <c r="I94" i="3" a="1"/>
  <c r="I94" i="3" s="1"/>
  <c r="I91" i="3" a="1"/>
  <c r="I91" i="3" s="1"/>
  <c r="I90" i="3" a="1"/>
  <c r="I90" i="3" s="1"/>
  <c r="I89" i="3" a="1"/>
  <c r="I89" i="3" s="1"/>
  <c r="I86" i="3" a="1"/>
  <c r="I86" i="3" s="1"/>
  <c r="I85" i="3" a="1"/>
  <c r="I85" i="3" s="1"/>
  <c r="I84" i="3" a="1"/>
  <c r="I84" i="3" s="1"/>
  <c r="I81" i="3" a="1"/>
  <c r="I81" i="3" s="1"/>
  <c r="I80" i="3" a="1"/>
  <c r="I80" i="3" s="1"/>
  <c r="I79" i="3" a="1"/>
  <c r="I79" i="3" s="1"/>
  <c r="G106" i="3" a="1"/>
  <c r="G106" i="3" s="1"/>
  <c r="G105" i="3" a="1"/>
  <c r="G105" i="3" s="1"/>
  <c r="G104" i="3" a="1"/>
  <c r="G104" i="3" s="1"/>
  <c r="G101" i="3" a="1"/>
  <c r="G101" i="3" s="1"/>
  <c r="G100" i="3" a="1"/>
  <c r="G100" i="3" s="1"/>
  <c r="G99" i="3" a="1"/>
  <c r="G99" i="3" s="1"/>
  <c r="G95" i="3" a="1"/>
  <c r="G95" i="3" s="1"/>
  <c r="G94" i="3" a="1"/>
  <c r="G94" i="3" s="1"/>
  <c r="G90" i="3" a="1"/>
  <c r="G90" i="3" s="1"/>
  <c r="G89" i="3" a="1"/>
  <c r="G89" i="3" s="1"/>
  <c r="G86" i="3" a="1"/>
  <c r="G86" i="3" s="1"/>
  <c r="G85" i="3" a="1"/>
  <c r="G85" i="3" s="1"/>
  <c r="G84" i="3" a="1"/>
  <c r="G84" i="3" s="1"/>
  <c r="G80" i="3" a="1"/>
  <c r="G80" i="3" s="1"/>
  <c r="G79" i="3" a="1"/>
  <c r="G79" i="3" s="1"/>
  <c r="F106" i="3" a="1"/>
  <c r="F106" i="3" s="1"/>
  <c r="F105" i="3" a="1"/>
  <c r="F105" i="3" s="1"/>
  <c r="F104" i="3" a="1"/>
  <c r="F104" i="3" s="1"/>
  <c r="F101" i="3" a="1"/>
  <c r="F101" i="3" s="1"/>
  <c r="F100" i="3" a="1"/>
  <c r="F100" i="3" s="1"/>
  <c r="F99" i="3" a="1"/>
  <c r="F99" i="3" s="1"/>
  <c r="F96" i="3" a="1"/>
  <c r="F96" i="3" s="1"/>
  <c r="F95" i="3" a="1"/>
  <c r="F95" i="3" s="1"/>
  <c r="F94" i="3" a="1"/>
  <c r="F94" i="3" s="1"/>
  <c r="F91" i="3" a="1"/>
  <c r="F91" i="3" s="1"/>
  <c r="F90" i="3" a="1"/>
  <c r="F90" i="3" s="1"/>
  <c r="F89" i="3" a="1"/>
  <c r="F89" i="3" s="1"/>
  <c r="F86" i="3" a="1"/>
  <c r="F86" i="3" s="1"/>
  <c r="F85" i="3" a="1"/>
  <c r="F85" i="3" s="1"/>
  <c r="F84" i="3" a="1"/>
  <c r="F84" i="3" s="1"/>
  <c r="F81" i="3" a="1"/>
  <c r="F81" i="3" s="1"/>
  <c r="F80" i="3" a="1"/>
  <c r="F80" i="3" s="1"/>
  <c r="F79" i="3" a="1"/>
  <c r="F79" i="3" s="1"/>
  <c r="F66" i="3" a="1"/>
  <c r="F66" i="3" s="1"/>
  <c r="N103" i="3" a="1"/>
  <c r="N103" i="3" s="1"/>
  <c r="N102" i="3" a="1"/>
  <c r="N102" i="3" s="1"/>
  <c r="N98" i="3" a="1"/>
  <c r="N98" i="3" s="1"/>
  <c r="N97" i="3" a="1"/>
  <c r="N97" i="3" s="1"/>
  <c r="N93" i="3" a="1"/>
  <c r="N93" i="3" s="1"/>
  <c r="N92" i="3" a="1"/>
  <c r="N92" i="3" s="1"/>
  <c r="N88" i="3" a="1"/>
  <c r="N88" i="3" s="1"/>
  <c r="N87" i="3" a="1"/>
  <c r="N87" i="3" s="1"/>
  <c r="N83" i="3" a="1"/>
  <c r="N83" i="3" s="1"/>
  <c r="N82" i="3" a="1"/>
  <c r="N82" i="3" s="1"/>
  <c r="N78" i="3" a="1"/>
  <c r="N78" i="3" s="1"/>
  <c r="M103" i="3" a="1"/>
  <c r="M103" i="3" s="1"/>
  <c r="M102" i="3" a="1"/>
  <c r="M102" i="3" s="1"/>
  <c r="M98" i="3" a="1"/>
  <c r="M98" i="3" s="1"/>
  <c r="M97" i="3" a="1"/>
  <c r="M97" i="3" s="1"/>
  <c r="M93" i="3" a="1"/>
  <c r="M93" i="3" s="1"/>
  <c r="M92" i="3" a="1"/>
  <c r="M92" i="3" s="1"/>
  <c r="M88" i="3" a="1"/>
  <c r="M88" i="3" s="1"/>
  <c r="M87" i="3" a="1"/>
  <c r="M87" i="3" s="1"/>
  <c r="M83" i="3" a="1"/>
  <c r="M83" i="3" s="1"/>
  <c r="M82" i="3" a="1"/>
  <c r="M82" i="3" s="1"/>
  <c r="M78" i="3" a="1"/>
  <c r="M78" i="3" s="1"/>
  <c r="M77" i="3" a="1"/>
  <c r="M77" i="3" s="1"/>
  <c r="L103" i="3" a="1"/>
  <c r="L103" i="3" s="1"/>
  <c r="L102" i="3" a="1"/>
  <c r="L102" i="3" s="1"/>
  <c r="L98" i="3" a="1"/>
  <c r="L98" i="3" s="1"/>
  <c r="L97" i="3" a="1"/>
  <c r="L97" i="3" s="1"/>
  <c r="L93" i="3" a="1"/>
  <c r="L93" i="3" s="1"/>
  <c r="L92" i="3" a="1"/>
  <c r="L92" i="3" s="1"/>
  <c r="L88" i="3" a="1"/>
  <c r="L88" i="3" s="1"/>
  <c r="L87" i="3" a="1"/>
  <c r="L87" i="3" s="1"/>
  <c r="L83" i="3" a="1"/>
  <c r="L83" i="3" s="1"/>
  <c r="L82" i="3" a="1"/>
  <c r="L82" i="3" s="1"/>
  <c r="L78" i="3" a="1"/>
  <c r="L78" i="3" s="1"/>
  <c r="L77" i="3" a="1"/>
  <c r="L77" i="3" s="1"/>
  <c r="K103" i="3" a="1"/>
  <c r="K103" i="3" s="1"/>
  <c r="K102" i="3" a="1"/>
  <c r="K102" i="3" s="1"/>
  <c r="K98" i="3" a="1"/>
  <c r="K98" i="3" s="1"/>
  <c r="K97" i="3" a="1"/>
  <c r="K97" i="3" s="1"/>
  <c r="K93" i="3" a="1"/>
  <c r="K93" i="3" s="1"/>
  <c r="K92" i="3" a="1"/>
  <c r="K92" i="3" s="1"/>
  <c r="K88" i="3" a="1"/>
  <c r="K88" i="3" s="1"/>
  <c r="K87" i="3" a="1"/>
  <c r="K87" i="3" s="1"/>
  <c r="K83" i="3" a="1"/>
  <c r="K83" i="3" s="1"/>
  <c r="K82" i="3" a="1"/>
  <c r="K82" i="3" s="1"/>
  <c r="K78" i="3" a="1"/>
  <c r="K78" i="3" s="1"/>
  <c r="K77" i="3" a="1"/>
  <c r="K77" i="3" s="1"/>
  <c r="J103" i="3" a="1"/>
  <c r="J103" i="3" s="1"/>
  <c r="J102" i="3" a="1"/>
  <c r="J102" i="3" s="1"/>
  <c r="J98" i="3" a="1"/>
  <c r="J98" i="3" s="1"/>
  <c r="J97" i="3" a="1"/>
  <c r="J97" i="3" s="1"/>
  <c r="J93" i="3" a="1"/>
  <c r="J93" i="3" s="1"/>
  <c r="J92" i="3" a="1"/>
  <c r="J92" i="3" s="1"/>
  <c r="J88" i="3" a="1"/>
  <c r="J88" i="3" s="1"/>
  <c r="J87" i="3" a="1"/>
  <c r="J87" i="3" s="1"/>
  <c r="J83" i="3" a="1"/>
  <c r="J83" i="3" s="1"/>
  <c r="J82" i="3" a="1"/>
  <c r="J82" i="3" s="1"/>
  <c r="J78" i="3" a="1"/>
  <c r="J78" i="3" s="1"/>
  <c r="J77" i="3" a="1"/>
  <c r="J77" i="3" s="1"/>
  <c r="I103" i="3" a="1"/>
  <c r="I103" i="3" s="1"/>
  <c r="I102" i="3" a="1"/>
  <c r="I102" i="3" s="1"/>
  <c r="I98" i="3" a="1"/>
  <c r="I98" i="3" s="1"/>
  <c r="I97" i="3" a="1"/>
  <c r="I97" i="3" s="1"/>
  <c r="I93" i="3" a="1"/>
  <c r="I93" i="3" s="1"/>
  <c r="I92" i="3" a="1"/>
  <c r="I92" i="3" s="1"/>
  <c r="I88" i="3" a="1"/>
  <c r="I88" i="3" s="1"/>
  <c r="I87" i="3" a="1"/>
  <c r="I87" i="3" s="1"/>
  <c r="I83" i="3" a="1"/>
  <c r="I83" i="3" s="1"/>
  <c r="I82" i="3" a="1"/>
  <c r="I82" i="3" s="1"/>
  <c r="I78" i="3" a="1"/>
  <c r="I78" i="3" s="1"/>
  <c r="I77" i="3" a="1"/>
  <c r="I77" i="3" s="1"/>
  <c r="G103" i="3" a="1"/>
  <c r="G103" i="3" s="1"/>
  <c r="G102" i="3" a="1"/>
  <c r="G102" i="3" s="1"/>
  <c r="G98" i="3" a="1"/>
  <c r="G98" i="3" s="1"/>
  <c r="G97" i="3" a="1"/>
  <c r="G97" i="3" s="1"/>
  <c r="G93" i="3" a="1"/>
  <c r="G93" i="3" s="1"/>
  <c r="G92" i="3" a="1"/>
  <c r="G92" i="3" s="1"/>
  <c r="G88" i="3" a="1"/>
  <c r="G88" i="3" s="1"/>
  <c r="G87" i="3" a="1"/>
  <c r="G87" i="3" s="1"/>
  <c r="G83" i="3" a="1"/>
  <c r="G83" i="3" s="1"/>
  <c r="G82" i="3" a="1"/>
  <c r="G82" i="3" s="1"/>
  <c r="G78" i="3" a="1"/>
  <c r="G78" i="3" s="1"/>
  <c r="G77" i="3" a="1"/>
  <c r="G77" i="3" s="1"/>
  <c r="F103" i="3" a="1"/>
  <c r="F103" i="3" s="1"/>
  <c r="F102" i="3" a="1"/>
  <c r="F102" i="3" s="1"/>
  <c r="F98" i="3" a="1"/>
  <c r="F98" i="3" s="1"/>
  <c r="F97" i="3" a="1"/>
  <c r="F97" i="3" s="1"/>
  <c r="F93" i="3" a="1"/>
  <c r="F93" i="3" s="1"/>
  <c r="F92" i="3" a="1"/>
  <c r="F92" i="3" s="1"/>
  <c r="F88" i="3" a="1"/>
  <c r="F88" i="3" s="1"/>
  <c r="F87" i="3" a="1"/>
  <c r="F87" i="3" s="1"/>
  <c r="F83" i="3" a="1"/>
  <c r="F83" i="3" s="1"/>
  <c r="F82" i="3" a="1"/>
  <c r="F82" i="3" s="1"/>
  <c r="F78" i="3" a="1"/>
  <c r="F78" i="3" s="1"/>
  <c r="F77" i="3" a="1"/>
  <c r="F77" i="3" s="1"/>
  <c r="F53" i="3" a="1"/>
  <c r="F53" i="3" s="1"/>
  <c r="L67" i="3" a="1"/>
  <c r="L67" i="3" s="1"/>
  <c r="L66" i="3" a="1"/>
  <c r="L66" i="3" s="1"/>
  <c r="L65" i="3" a="1"/>
  <c r="L65" i="3" s="1"/>
  <c r="L64" i="3" a="1"/>
  <c r="L64" i="3" s="1"/>
  <c r="L63" i="3" a="1"/>
  <c r="L63" i="3" s="1"/>
  <c r="L62" i="3" a="1"/>
  <c r="L62" i="3" s="1"/>
  <c r="L61" i="3" a="1"/>
  <c r="L61" i="3" s="1"/>
  <c r="L60" i="3" a="1"/>
  <c r="L60" i="3" s="1"/>
  <c r="L59" i="3" a="1"/>
  <c r="L59" i="3" s="1"/>
  <c r="L58" i="3" a="1"/>
  <c r="L58" i="3" s="1"/>
  <c r="L57" i="3" a="1"/>
  <c r="L57" i="3" s="1"/>
  <c r="L56" i="3" a="1"/>
  <c r="L56" i="3" s="1"/>
  <c r="L55" i="3" a="1"/>
  <c r="L55" i="3" s="1"/>
  <c r="L54" i="3" a="1"/>
  <c r="L54" i="3" s="1"/>
  <c r="L53" i="3" a="1"/>
  <c r="L53" i="3" s="1"/>
  <c r="K67" i="3" a="1"/>
  <c r="K67" i="3" s="1"/>
  <c r="K66" i="3" a="1"/>
  <c r="K66" i="3" s="1"/>
  <c r="K65" i="3" a="1"/>
  <c r="K65" i="3" s="1"/>
  <c r="K64" i="3" a="1"/>
  <c r="K64" i="3" s="1"/>
  <c r="K63" i="3" a="1"/>
  <c r="K63" i="3" s="1"/>
  <c r="K62" i="3" a="1"/>
  <c r="K62" i="3" s="1"/>
  <c r="K61" i="3" a="1"/>
  <c r="K61" i="3" s="1"/>
  <c r="K60" i="3" a="1"/>
  <c r="K60" i="3" s="1"/>
  <c r="K59" i="3" a="1"/>
  <c r="K59" i="3" s="1"/>
  <c r="K58" i="3" a="1"/>
  <c r="K58" i="3" s="1"/>
  <c r="K57" i="3" a="1"/>
  <c r="K57" i="3" s="1"/>
  <c r="K56" i="3" a="1"/>
  <c r="K56" i="3" s="1"/>
  <c r="K55" i="3" a="1"/>
  <c r="K55" i="3" s="1"/>
  <c r="K54" i="3" a="1"/>
  <c r="K54" i="3" s="1"/>
  <c r="K53" i="3" a="1"/>
  <c r="K53" i="3" s="1"/>
  <c r="J67" i="3" a="1"/>
  <c r="J67" i="3" s="1"/>
  <c r="J66" i="3" a="1"/>
  <c r="J66" i="3" s="1"/>
  <c r="J65" i="3" a="1"/>
  <c r="J65" i="3" s="1"/>
  <c r="J64" i="3" a="1"/>
  <c r="J64" i="3" s="1"/>
  <c r="J63" i="3" a="1"/>
  <c r="J63" i="3" s="1"/>
  <c r="J62" i="3" a="1"/>
  <c r="J62" i="3" s="1"/>
  <c r="J61" i="3" a="1"/>
  <c r="J61" i="3" s="1"/>
  <c r="J60" i="3" a="1"/>
  <c r="J60" i="3" s="1"/>
  <c r="J59" i="3" a="1"/>
  <c r="J59" i="3" s="1"/>
  <c r="J58" i="3" a="1"/>
  <c r="J58" i="3" s="1"/>
  <c r="J57" i="3" a="1"/>
  <c r="J57" i="3" s="1"/>
  <c r="J56" i="3" a="1"/>
  <c r="J56" i="3" s="1"/>
  <c r="J55" i="3" a="1"/>
  <c r="J55" i="3" s="1"/>
  <c r="J54" i="3" a="1"/>
  <c r="J54" i="3" s="1"/>
  <c r="J53" i="3" a="1"/>
  <c r="J53" i="3" s="1"/>
  <c r="I67" i="3" a="1"/>
  <c r="I67" i="3" s="1"/>
  <c r="I66" i="3" a="1"/>
  <c r="I66" i="3" s="1"/>
  <c r="I65" i="3" a="1"/>
  <c r="I65" i="3" s="1"/>
  <c r="I64" i="3" a="1"/>
  <c r="I64" i="3" s="1"/>
  <c r="I63" i="3" a="1"/>
  <c r="I63" i="3" s="1"/>
  <c r="I62" i="3" a="1"/>
  <c r="I62" i="3" s="1"/>
  <c r="I61" i="3" a="1"/>
  <c r="I61" i="3" s="1"/>
  <c r="I60" i="3" a="1"/>
  <c r="I60" i="3" s="1"/>
  <c r="I59" i="3" a="1"/>
  <c r="I59" i="3" s="1"/>
  <c r="I58" i="3" a="1"/>
  <c r="I58" i="3" s="1"/>
  <c r="I57" i="3" a="1"/>
  <c r="I57" i="3" s="1"/>
  <c r="I56" i="3" a="1"/>
  <c r="I56" i="3" s="1"/>
  <c r="I55" i="3" a="1"/>
  <c r="I55" i="3" s="1"/>
  <c r="I54" i="3" a="1"/>
  <c r="I54" i="3" s="1"/>
  <c r="I53" i="3" a="1"/>
  <c r="I53" i="3" s="1"/>
  <c r="H67" i="3" a="1"/>
  <c r="H67" i="3" s="1"/>
  <c r="H66" i="3" a="1"/>
  <c r="H66" i="3" s="1"/>
  <c r="H65" i="3" a="1"/>
  <c r="H65" i="3" s="1"/>
  <c r="H64" i="3" a="1"/>
  <c r="H64" i="3" s="1"/>
  <c r="H63" i="3" a="1"/>
  <c r="H63" i="3" s="1"/>
  <c r="H62" i="3" a="1"/>
  <c r="H62" i="3" s="1"/>
  <c r="H61" i="3" a="1"/>
  <c r="H61" i="3" s="1"/>
  <c r="H60" i="3" a="1"/>
  <c r="H60" i="3" s="1"/>
  <c r="H59" i="3" a="1"/>
  <c r="H59" i="3" s="1"/>
  <c r="H58" i="3" a="1"/>
  <c r="H58" i="3" s="1"/>
  <c r="H57" i="3" a="1"/>
  <c r="H57" i="3" s="1"/>
  <c r="H56" i="3" a="1"/>
  <c r="H56" i="3" s="1"/>
  <c r="H55" i="3" a="1"/>
  <c r="H55" i="3" s="1"/>
  <c r="H54" i="3" a="1"/>
  <c r="H54" i="3" s="1"/>
  <c r="H53" i="3" a="1"/>
  <c r="H53" i="3" s="1"/>
  <c r="G67" i="3" a="1"/>
  <c r="G67" i="3" s="1"/>
  <c r="G66" i="3" a="1"/>
  <c r="G66" i="3" s="1"/>
  <c r="G65" i="3" a="1"/>
  <c r="G65" i="3" s="1"/>
  <c r="G64" i="3" a="1"/>
  <c r="G64" i="3" s="1"/>
  <c r="G63" i="3" a="1"/>
  <c r="G63" i="3" s="1"/>
  <c r="G62" i="3" a="1"/>
  <c r="G62" i="3" s="1"/>
  <c r="G61" i="3" a="1"/>
  <c r="G61" i="3" s="1"/>
  <c r="G60" i="3" a="1"/>
  <c r="G60" i="3" s="1"/>
  <c r="G59" i="3" a="1"/>
  <c r="G59" i="3" s="1"/>
  <c r="G58" i="3" a="1"/>
  <c r="G58" i="3" s="1"/>
  <c r="G57" i="3" a="1"/>
  <c r="G57" i="3" s="1"/>
  <c r="G56" i="3" a="1"/>
  <c r="G56" i="3" s="1"/>
  <c r="G55" i="3" a="1"/>
  <c r="G55" i="3" s="1"/>
  <c r="G54" i="3" a="1"/>
  <c r="G54" i="3" s="1"/>
  <c r="G53" i="3" a="1"/>
  <c r="G53" i="3" s="1"/>
  <c r="D92" i="3" a="1"/>
  <c r="D92" i="3" s="1"/>
  <c r="D87" i="3" a="1"/>
  <c r="D87" i="3" s="1"/>
  <c r="D82" i="3" a="1"/>
  <c r="D82" i="3" s="1"/>
  <c r="D77" i="3" a="1"/>
  <c r="D77" i="3" s="1"/>
  <c r="D63" i="3" a="1"/>
  <c r="D63" i="3" s="1"/>
  <c r="D58" i="3" a="1"/>
  <c r="D58" i="3" s="1"/>
  <c r="D53" i="3" a="1"/>
  <c r="D53" i="3" s="1"/>
  <c r="F67" i="3" a="1"/>
  <c r="F67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I43" i="3"/>
  <c r="H43" i="3"/>
  <c r="G43" i="3"/>
  <c r="K47" i="3"/>
  <c r="J47" i="3"/>
  <c r="I47" i="3"/>
  <c r="H47" i="3"/>
  <c r="G47" i="3"/>
  <c r="F47" i="3"/>
  <c r="N92" i="1"/>
  <c r="N91" i="1"/>
  <c r="N89" i="1"/>
  <c r="N88" i="1"/>
  <c r="N87" i="1"/>
  <c r="N86" i="1"/>
  <c r="N84" i="1"/>
  <c r="N83" i="1"/>
  <c r="N82" i="1"/>
  <c r="N81" i="1"/>
  <c r="N80" i="1"/>
  <c r="N79" i="1"/>
  <c r="N76" i="1"/>
  <c r="N75" i="1"/>
  <c r="N73" i="1"/>
  <c r="N72" i="1"/>
  <c r="N71" i="1"/>
  <c r="N70" i="1"/>
  <c r="N69" i="1"/>
  <c r="N68" i="1"/>
  <c r="N67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48" i="1"/>
  <c r="N47" i="1"/>
  <c r="N46" i="1"/>
  <c r="N45" i="1"/>
  <c r="N43" i="1"/>
  <c r="N39" i="1"/>
  <c r="N38" i="1"/>
  <c r="N37" i="1"/>
  <c r="N36" i="1"/>
  <c r="N35" i="1"/>
  <c r="N34" i="1"/>
  <c r="N33" i="1"/>
  <c r="N32" i="1"/>
  <c r="N31" i="1"/>
  <c r="N30" i="1"/>
  <c r="N29" i="1"/>
  <c r="N28" i="1"/>
  <c r="N25" i="1"/>
  <c r="N24" i="1"/>
  <c r="N22" i="1"/>
  <c r="N21" i="1"/>
  <c r="N17" i="1"/>
  <c r="N16" i="1"/>
  <c r="N15" i="1"/>
  <c r="N14" i="1"/>
  <c r="N13" i="1"/>
  <c r="N12" i="1"/>
  <c r="N10" i="1"/>
  <c r="N8" i="1"/>
  <c r="N4" i="1"/>
  <c r="N3" i="1"/>
  <c r="N2" i="1"/>
  <c r="M2" i="1"/>
  <c r="L3" i="1"/>
  <c r="K3" i="1"/>
  <c r="M114" i="1"/>
  <c r="M105" i="1"/>
  <c r="M104" i="1"/>
  <c r="M94" i="1"/>
  <c r="M92" i="1"/>
  <c r="M91" i="1"/>
  <c r="M89" i="1"/>
  <c r="M88" i="1"/>
  <c r="M87" i="1"/>
  <c r="M86" i="1"/>
  <c r="M84" i="1"/>
  <c r="M83" i="1"/>
  <c r="M82" i="1"/>
  <c r="M81" i="1"/>
  <c r="M80" i="1"/>
  <c r="M79" i="1"/>
  <c r="M77" i="1"/>
  <c r="M76" i="1"/>
  <c r="M75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48" i="1"/>
  <c r="M47" i="1"/>
  <c r="M46" i="1"/>
  <c r="M45" i="1"/>
  <c r="M44" i="1"/>
  <c r="M43" i="1"/>
  <c r="M38" i="1"/>
  <c r="M37" i="1"/>
  <c r="M36" i="1"/>
  <c r="M35" i="1"/>
  <c r="M34" i="1"/>
  <c r="M33" i="1"/>
  <c r="M32" i="1"/>
  <c r="M31" i="1"/>
  <c r="M30" i="1"/>
  <c r="M29" i="1"/>
  <c r="M28" i="1"/>
  <c r="M25" i="1"/>
  <c r="M24" i="1"/>
  <c r="M22" i="1"/>
  <c r="M21" i="1"/>
  <c r="M17" i="1"/>
  <c r="M16" i="1"/>
  <c r="M15" i="1"/>
  <c r="M14" i="1"/>
  <c r="M13" i="1"/>
  <c r="M12" i="1"/>
  <c r="M10" i="1"/>
  <c r="M8" i="1"/>
  <c r="M6" i="1"/>
  <c r="M5" i="1"/>
  <c r="M4" i="1"/>
  <c r="M3" i="1"/>
  <c r="K4" i="1"/>
  <c r="K5" i="1"/>
  <c r="N5" i="1" s="1"/>
  <c r="K6" i="1"/>
  <c r="K7" i="1"/>
  <c r="K8" i="1"/>
  <c r="K9" i="1"/>
  <c r="M9" i="1" s="1"/>
  <c r="K10" i="1"/>
  <c r="K11" i="1"/>
  <c r="N11" i="1" s="1"/>
  <c r="K12" i="1"/>
  <c r="K13" i="1"/>
  <c r="K14" i="1"/>
  <c r="K15" i="1"/>
  <c r="K16" i="1"/>
  <c r="K17" i="1"/>
  <c r="K18" i="1"/>
  <c r="M18" i="1" s="1"/>
  <c r="K19" i="1"/>
  <c r="M19" i="1" s="1"/>
  <c r="K20" i="1"/>
  <c r="N20" i="1" s="1"/>
  <c r="K21" i="1"/>
  <c r="K22" i="1"/>
  <c r="K23" i="1"/>
  <c r="M23" i="1" s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M39" i="1" s="1"/>
  <c r="K40" i="1"/>
  <c r="N40" i="1" s="1"/>
  <c r="K41" i="1"/>
  <c r="N41" i="1" s="1"/>
  <c r="K42" i="1"/>
  <c r="N42" i="1" s="1"/>
  <c r="K43" i="1"/>
  <c r="K44" i="1"/>
  <c r="N44" i="1" s="1"/>
  <c r="K45" i="1"/>
  <c r="K46" i="1"/>
  <c r="K47" i="1"/>
  <c r="K48" i="1"/>
  <c r="K49" i="1"/>
  <c r="M49" i="1" s="1"/>
  <c r="K50" i="1"/>
  <c r="N50" i="1" s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M74" i="1" s="1"/>
  <c r="K75" i="1"/>
  <c r="K76" i="1"/>
  <c r="K77" i="1"/>
  <c r="K78" i="1"/>
  <c r="M78" i="1" s="1"/>
  <c r="K79" i="1"/>
  <c r="K80" i="1"/>
  <c r="K81" i="1"/>
  <c r="K82" i="1"/>
  <c r="K83" i="1"/>
  <c r="K84" i="1"/>
  <c r="K85" i="1"/>
  <c r="M85" i="1" s="1"/>
  <c r="K86" i="1"/>
  <c r="K87" i="1"/>
  <c r="K88" i="1"/>
  <c r="K89" i="1"/>
  <c r="K90" i="1"/>
  <c r="N90" i="1" s="1"/>
  <c r="K91" i="1"/>
  <c r="K92" i="1"/>
  <c r="K93" i="1"/>
  <c r="M93" i="1" s="1"/>
  <c r="K94" i="1"/>
  <c r="N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N103" i="1" s="1"/>
  <c r="K104" i="1"/>
  <c r="K105" i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N113" i="1" s="1"/>
  <c r="K114" i="1"/>
  <c r="K115" i="1"/>
  <c r="M115" i="1" s="1"/>
  <c r="K116" i="1"/>
  <c r="M116" i="1" s="1"/>
  <c r="K117" i="1"/>
  <c r="M117" i="1" s="1"/>
  <c r="K118" i="1"/>
  <c r="M118" i="1" s="1"/>
  <c r="L118" i="1"/>
  <c r="L117" i="1"/>
  <c r="L116" i="1"/>
  <c r="L115" i="1"/>
  <c r="L114" i="1"/>
  <c r="L113" i="1"/>
  <c r="L112" i="1"/>
  <c r="L111" i="1"/>
  <c r="L110" i="1"/>
  <c r="L109" i="1"/>
  <c r="N109" i="1" s="1"/>
  <c r="L108" i="1"/>
  <c r="L107" i="1"/>
  <c r="L106" i="1"/>
  <c r="L105" i="1"/>
  <c r="L104" i="1"/>
  <c r="L103" i="1"/>
  <c r="L102" i="1"/>
  <c r="L101" i="1"/>
  <c r="L100" i="1"/>
  <c r="L99" i="1"/>
  <c r="N99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N85" i="1" s="1"/>
  <c r="L84" i="1"/>
  <c r="L83" i="1"/>
  <c r="L82" i="1"/>
  <c r="L81" i="1"/>
  <c r="L80" i="1"/>
  <c r="L79" i="1"/>
  <c r="L78" i="1"/>
  <c r="N78" i="1" s="1"/>
  <c r="L77" i="1"/>
  <c r="L76" i="1"/>
  <c r="L75" i="1"/>
  <c r="L74" i="1"/>
  <c r="N74" i="1" s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N18" i="1" s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2" i="1"/>
  <c r="J68" i="3" l="1"/>
  <c r="D107" i="3"/>
  <c r="D68" i="3"/>
  <c r="G68" i="3"/>
  <c r="G69" i="3"/>
  <c r="I111" i="3"/>
  <c r="I110" i="3"/>
  <c r="I109" i="3"/>
  <c r="I108" i="3"/>
  <c r="I107" i="3"/>
  <c r="G72" i="3"/>
  <c r="G71" i="3"/>
  <c r="G70" i="3"/>
  <c r="N77" i="1"/>
  <c r="N27" i="1"/>
  <c r="N7" i="1"/>
  <c r="N101" i="1"/>
  <c r="N111" i="1"/>
  <c r="N66" i="1"/>
  <c r="N26" i="1"/>
  <c r="N6" i="1"/>
  <c r="E47" i="3" s="1"/>
  <c r="M26" i="1"/>
  <c r="N9" i="1"/>
  <c r="M103" i="1"/>
  <c r="N102" i="1"/>
  <c r="N112" i="1"/>
  <c r="N115" i="1"/>
  <c r="N105" i="1"/>
  <c r="N95" i="1"/>
  <c r="M27" i="1"/>
  <c r="T15" i="3" s="1"/>
  <c r="N23" i="1"/>
  <c r="N93" i="1"/>
  <c r="N114" i="1"/>
  <c r="N104" i="1"/>
  <c r="N49" i="1"/>
  <c r="M7" i="1"/>
  <c r="H100" i="3" s="1" a="1"/>
  <c r="H100" i="3" s="1"/>
  <c r="M113" i="1"/>
  <c r="N19" i="1"/>
  <c r="N96" i="1"/>
  <c r="N106" i="1"/>
  <c r="N116" i="1"/>
  <c r="N97" i="1"/>
  <c r="N107" i="1"/>
  <c r="N117" i="1"/>
  <c r="N98" i="1"/>
  <c r="N108" i="1"/>
  <c r="N118" i="1"/>
  <c r="N100" i="1"/>
  <c r="N110" i="1"/>
  <c r="M20" i="1"/>
  <c r="H97" i="3" s="1" a="1"/>
  <c r="H97" i="3" s="1"/>
  <c r="M40" i="1"/>
  <c r="M50" i="1"/>
  <c r="M90" i="1"/>
  <c r="M11" i="1"/>
  <c r="H104" i="3" s="1" a="1"/>
  <c r="H104" i="3" s="1"/>
  <c r="M41" i="1"/>
  <c r="M42" i="1"/>
  <c r="L71" i="3"/>
  <c r="H99" i="3" l="1" a="1"/>
  <c r="H99" i="3" s="1"/>
  <c r="H94" i="3" a="1"/>
  <c r="H94" i="3" s="1"/>
  <c r="H106" i="3" a="1"/>
  <c r="H106" i="3" s="1"/>
  <c r="H78" i="3" a="1"/>
  <c r="H78" i="3" s="1"/>
  <c r="H108" i="3" s="1"/>
  <c r="E7" i="3"/>
  <c r="H93" i="3" a="1"/>
  <c r="H93" i="3" s="1"/>
  <c r="H89" i="3" a="1"/>
  <c r="H89" i="3" s="1"/>
  <c r="E3" i="3"/>
  <c r="E5" i="3"/>
  <c r="T16" i="3"/>
  <c r="T19" i="3"/>
  <c r="H77" i="3" a="1"/>
  <c r="H77" i="3" s="1"/>
  <c r="H107" i="3" s="1"/>
  <c r="H87" i="3" a="1"/>
  <c r="H87" i="3" s="1"/>
  <c r="H81" i="3" a="1"/>
  <c r="H81" i="3" s="1"/>
  <c r="H111" i="3" s="1"/>
  <c r="H96" i="3" a="1"/>
  <c r="H96" i="3" s="1"/>
  <c r="T18" i="3"/>
  <c r="H105" i="3" a="1"/>
  <c r="H105" i="3" s="1"/>
  <c r="H80" i="3" a="1"/>
  <c r="H80" i="3" s="1"/>
  <c r="H103" i="3" a="1"/>
  <c r="H103" i="3" s="1"/>
  <c r="H86" i="3" a="1"/>
  <c r="H86" i="3" s="1"/>
  <c r="H98" i="3" a="1"/>
  <c r="H98" i="3" s="1"/>
  <c r="H91" i="3" a="1"/>
  <c r="H91" i="3" s="1"/>
  <c r="H83" i="3" a="1"/>
  <c r="H83" i="3" s="1"/>
  <c r="H95" i="3" a="1"/>
  <c r="H95" i="3" s="1"/>
  <c r="H92" i="3" a="1"/>
  <c r="H92" i="3" s="1"/>
  <c r="H101" i="3" a="1"/>
  <c r="H101" i="3" s="1"/>
  <c r="H84" i="3" a="1"/>
  <c r="H84" i="3" s="1"/>
  <c r="E6" i="3"/>
  <c r="E4" i="3"/>
  <c r="T17" i="3"/>
  <c r="T20" i="3"/>
  <c r="H79" i="3" a="1"/>
  <c r="H79" i="3" s="1"/>
  <c r="H102" i="3" a="1"/>
  <c r="H102" i="3" s="1"/>
  <c r="H85" i="3" a="1"/>
  <c r="H85" i="3" s="1"/>
  <c r="H110" i="3" s="1"/>
  <c r="H90" i="3" a="1"/>
  <c r="H90" i="3" s="1"/>
  <c r="H82" i="3" a="1"/>
  <c r="H82" i="3" s="1"/>
  <c r="H88" i="3" a="1"/>
  <c r="H88" i="3" s="1"/>
  <c r="I112" i="3"/>
  <c r="G73" i="3"/>
  <c r="L107" i="3"/>
  <c r="K108" i="3"/>
  <c r="H109" i="3"/>
  <c r="L72" i="3"/>
  <c r="K69" i="3"/>
  <c r="K68" i="3"/>
  <c r="J70" i="3"/>
  <c r="K107" i="3"/>
  <c r="H69" i="3"/>
  <c r="F111" i="3"/>
  <c r="J107" i="3"/>
  <c r="J71" i="3"/>
  <c r="L68" i="3"/>
  <c r="J72" i="3"/>
  <c r="I72" i="3"/>
  <c r="F72" i="3"/>
  <c r="H68" i="3"/>
  <c r="F108" i="3"/>
  <c r="F109" i="3"/>
  <c r="F107" i="3"/>
  <c r="G107" i="3"/>
  <c r="K71" i="3"/>
  <c r="H71" i="3"/>
  <c r="H72" i="3"/>
  <c r="L69" i="3"/>
  <c r="K72" i="3"/>
  <c r="L70" i="3"/>
  <c r="I71" i="3"/>
  <c r="I68" i="3"/>
  <c r="I69" i="3"/>
  <c r="J69" i="3"/>
  <c r="F69" i="3"/>
  <c r="F68" i="3"/>
  <c r="F71" i="3"/>
  <c r="N107" i="3"/>
  <c r="K110" i="3"/>
  <c r="K111" i="3"/>
  <c r="N108" i="3"/>
  <c r="M107" i="3"/>
  <c r="M108" i="3"/>
  <c r="L109" i="3"/>
  <c r="L108" i="3"/>
  <c r="N111" i="3"/>
  <c r="N110" i="3"/>
  <c r="N109" i="3"/>
  <c r="M111" i="3"/>
  <c r="M110" i="3"/>
  <c r="M109" i="3"/>
  <c r="L111" i="3"/>
  <c r="L110" i="3"/>
  <c r="K109" i="3"/>
  <c r="J111" i="3"/>
  <c r="J110" i="3"/>
  <c r="J109" i="3"/>
  <c r="J108" i="3"/>
  <c r="G110" i="3"/>
  <c r="G109" i="3"/>
  <c r="G108" i="3"/>
  <c r="F110" i="3"/>
  <c r="K70" i="3"/>
  <c r="I70" i="3"/>
  <c r="H70" i="3"/>
  <c r="F70" i="3"/>
  <c r="H73" i="3" l="1"/>
  <c r="F73" i="3"/>
  <c r="H112" i="3"/>
  <c r="J73" i="3"/>
  <c r="F112" i="3"/>
  <c r="K112" i="3"/>
  <c r="M112" i="3"/>
  <c r="L73" i="3"/>
  <c r="I73" i="3"/>
  <c r="K73" i="3"/>
  <c r="J112" i="3"/>
  <c r="L112" i="3"/>
  <c r="N112" i="3"/>
  <c r="G1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<sst xmlns="http://schemas.openxmlformats.org/spreadsheetml/2006/main" count="7550" uniqueCount="892">
  <si>
    <t>Adding_Subtracting_Zero_1_NT.c</t>
  </si>
  <si>
    <t>Adding_Subtracting_Zero_1_T.c</t>
  </si>
  <si>
    <t>Adding_Subtracting_Zero_2_NT.c</t>
  </si>
  <si>
    <t>Adding_Subtracting_Zero_2_T.c</t>
  </si>
  <si>
    <t>Adding_Subtracting_Zero_3_NT.c</t>
  </si>
  <si>
    <t>Adding_Subtracting_Zero_3_T.c</t>
  </si>
  <si>
    <t>Adding_Subtracting_Zero_4_NT.c</t>
  </si>
  <si>
    <t>Adding_Subtracting_Zero_4_T.c</t>
  </si>
  <si>
    <t>Adding_Subtracting_Zero_5_NT.c</t>
  </si>
  <si>
    <t>Adding_Subtracting_Zero_5_T.c</t>
  </si>
  <si>
    <t>Incorrect_Arguments_1_NT.c</t>
  </si>
  <si>
    <t>Incorrect_Arguments_1_T.c</t>
  </si>
  <si>
    <t>Incorrect_Bit_Calculation_1_NT.c</t>
  </si>
  <si>
    <t>Incorrect_Bit_Calculation_1_T.c</t>
  </si>
  <si>
    <t>Incorrect_Bit_Calculation_2_NT.c</t>
  </si>
  <si>
    <t>Incorrect_Bit_Calculation_2_T.c</t>
  </si>
  <si>
    <t>Incorrect_Bit_Calculation_3_NT.c</t>
  </si>
  <si>
    <t>Incorrect_Bit_Calculation_3_T.c</t>
  </si>
  <si>
    <t>Incorrect_Control_Statement_1_NT.c</t>
  </si>
  <si>
    <t>Incorrect_Control_Statement_1_T.c</t>
  </si>
  <si>
    <t>Incorrect_Control_Statement_2_NT.c</t>
  </si>
  <si>
    <t>Incorrect_Control_Statement_2_T.c</t>
  </si>
  <si>
    <t>Incorrect_Cyclic_Invoking_1_NT.c</t>
  </si>
  <si>
    <t>Incorrect_Cyclic_Invoking_1_T.c</t>
  </si>
  <si>
    <t>Incorrect_Cyclic_Invoking_2_NT.c</t>
  </si>
  <si>
    <t>Incorrect_Cyclic_Invoking_2_T.c</t>
  </si>
  <si>
    <t>Incorrect_Initialization_1_NT.c</t>
  </si>
  <si>
    <t>Incorrect_Initialization_1_T.c</t>
  </si>
  <si>
    <t>Incorrect_Initialization_2_NT.c</t>
  </si>
  <si>
    <t>Incorrect_Initialization_3_NT.c</t>
  </si>
  <si>
    <t>Incorrect_Initialization_3_T.c</t>
  </si>
  <si>
    <t>Incorrect_Initialization_4_NT.c</t>
  </si>
  <si>
    <t>Incorrect_Initialization_4_T.c</t>
  </si>
  <si>
    <t>Incorrect_Return_1_NT.c</t>
  </si>
  <si>
    <t>Incorrect_Return_1_T.c</t>
  </si>
  <si>
    <t>Incorrect_Update_for_Loop_Iterator_1_NT.c</t>
  </si>
  <si>
    <t>Incorrect_Update_for_Loop_Iterator_1_T.c</t>
  </si>
  <si>
    <t>Incorrect_Update_for_Loop_Iterator_2_NT.c</t>
  </si>
  <si>
    <t>Incorrect_Update_for_Loop_Iterator_2_T.c</t>
  </si>
  <si>
    <t>Incorrect_Update_for_Loop_Iterator_3_NT.c</t>
  </si>
  <si>
    <t>Missing_Corner-case_Handling_1_NT.c</t>
  </si>
  <si>
    <t>Missing_Corner-case_Handling_1_T.c</t>
  </si>
  <si>
    <t>Missing_Corner-case_Handling_2_NT.c</t>
  </si>
  <si>
    <t>Missing_Corner-case_Handling_2_T.c</t>
  </si>
  <si>
    <t>Missing_Corner-case_Handling_3_NT.c</t>
  </si>
  <si>
    <t>Missing_Corner-case_Handling_3_T.c</t>
  </si>
  <si>
    <t>Missing_Corner-case_Handling_4_NT.c</t>
  </si>
  <si>
    <t>Missing_Corner-case_Handling_4_T.c</t>
  </si>
  <si>
    <t>Missing_Initialization_1_NT.c</t>
  </si>
  <si>
    <t>Missing_Initialization_1_T.c</t>
  </si>
  <si>
    <t>Missing_Iterator_Update_1_NT.c</t>
  </si>
  <si>
    <t>Missing_Iterator_Update_1_T.c</t>
  </si>
  <si>
    <t>Missing_Iterator_Update_2_NT.c</t>
  </si>
  <si>
    <t>Missing_Iterator_Update_2_T.c</t>
  </si>
  <si>
    <t>Missing_Iterator_Update_3_NT.c</t>
  </si>
  <si>
    <t>Missing_Iterator_Update_3_T.c</t>
  </si>
  <si>
    <t>Missing_Iterator_Update_4_NT.c</t>
  </si>
  <si>
    <t>Missing_Iterator_Update_4_T.c</t>
  </si>
  <si>
    <t>Missing_Iterator_Update_5_NT.c</t>
  </si>
  <si>
    <t>Missing_Iterator_Update_5_T.c</t>
  </si>
  <si>
    <t>Missing_undef_Instruction_1_NT.c</t>
  </si>
  <si>
    <t>Missing_undef_Instruction_1_T.c</t>
  </si>
  <si>
    <t>Misusing_Variable_Type_1_NT.c</t>
  </si>
  <si>
    <t>Misusing_Variable_Type_1_T.c</t>
  </si>
  <si>
    <t>Misusing_Variable_Type_2_NT.c</t>
  </si>
  <si>
    <t>Misusing_Variable_Type_2_T.c</t>
  </si>
  <si>
    <t>Reusing_Same_Loop_Iterator_1_NT.c</t>
  </si>
  <si>
    <t>Reusing_Same_Loop_Iterator_1_T.c</t>
  </si>
  <si>
    <t>Reusing_Same_Loop_Iterator_2_NT.c</t>
  </si>
  <si>
    <t>Reusing_Same_Loop_Iterator_2_T.c</t>
  </si>
  <si>
    <t>Signed_Overflow_Error_1_T.c</t>
  </si>
  <si>
    <t>Signed_Overflow_Error_2_NT.c</t>
  </si>
  <si>
    <t>Signed_Overflow_Error_2_T.c</t>
  </si>
  <si>
    <t>Signed_Overflow_Error_3_NT.c</t>
  </si>
  <si>
    <t>Signed_Overflow_Error_3_T.c</t>
  </si>
  <si>
    <t>Type_Conversion_in_Assignment_1_NT.c</t>
  </si>
  <si>
    <t>Type_Conversion_in_Assignment_1_T.c</t>
  </si>
  <si>
    <t>Type_Conversion_in_Comparison_1_NT.c</t>
  </si>
  <si>
    <t>Type_Conversion_in_Comparison_1_T.c</t>
  </si>
  <si>
    <t>Type_Conversion_in_Comparison_2_NT.c</t>
  </si>
  <si>
    <t>Type_Conversion_in_Comparison_2_T.c</t>
  </si>
  <si>
    <t>Undefined_Behavior_1_T.c</t>
  </si>
  <si>
    <t>Undefined_Behavior_2_T.c</t>
  </si>
  <si>
    <t>Undefined_Behavior_3_T.c</t>
  </si>
  <si>
    <t>Unsigned_Wraparound_Error_1_NT.c</t>
  </si>
  <si>
    <t>Unsigned_Wraparound_Error_1_T.c</t>
  </si>
  <si>
    <t>Unsigned_Wraparound_Error_2_NT.c</t>
  </si>
  <si>
    <t>Unsigned_Wraparound_Error_2_T.c</t>
  </si>
  <si>
    <t>Unsigned_Wraparound_Error_3_NT.c</t>
  </si>
  <si>
    <t>Unsigned_Wraparound_Error_3_T.c</t>
  </si>
  <si>
    <t>Unsigned_Wraparound_Error_4_NT.c</t>
  </si>
  <si>
    <t>Unsigned_Wraparound_Error_4_T.c</t>
  </si>
  <si>
    <t>Using_Erroneous_Condition_1_NT.c</t>
  </si>
  <si>
    <t>Using_Erroneous_Condition_1_T.c</t>
  </si>
  <si>
    <t>Using_Erroneous_Condition_2_NT.c</t>
  </si>
  <si>
    <t>Using_Erroneous_Condition_2_T.c</t>
  </si>
  <si>
    <t>Using_Erroneous_Condition_3_NT.c</t>
  </si>
  <si>
    <t>Using_Erroneous_Condition_3_T.c</t>
  </si>
  <si>
    <t>Array</t>
  </si>
  <si>
    <t>Two-Dimentional Array</t>
  </si>
  <si>
    <t>Benchmarks</t>
  </si>
  <si>
    <t>Recursion</t>
  </si>
  <si>
    <t>Bit Calculation</t>
  </si>
  <si>
    <t>Pointer + Structure</t>
  </si>
  <si>
    <t>Pointer + Array</t>
  </si>
  <si>
    <t>svcomp_a.01-alloca.c</t>
  </si>
  <si>
    <t>svcomp_a.04-alloca.c</t>
  </si>
  <si>
    <t>svcomp_a.05-alloca.c</t>
  </si>
  <si>
    <t>svcomp_a.06-alloca.c</t>
  </si>
  <si>
    <t>svcomp_a.07-alloca.c</t>
  </si>
  <si>
    <t>svcomp_a.08-alloca.c</t>
  </si>
  <si>
    <t>svcomp_a.09_assume-alloca.c</t>
  </si>
  <si>
    <t>svcomp_a.10-alloca.c</t>
  </si>
  <si>
    <t>svcomp_add_last_alloca.c</t>
  </si>
  <si>
    <t>svcomp_array01_alloca.c</t>
  </si>
  <si>
    <t>svcomp_array02_alloca.c</t>
  </si>
  <si>
    <t>svcomp_array03_alloca.c</t>
  </si>
  <si>
    <t>svcomp_Avery-2006FLOPS-Tabel1_true-alloca.c</t>
  </si>
  <si>
    <t>svcomp_aviad_true-alloca.c</t>
  </si>
  <si>
    <t>svcomp_b.01-alloca.c</t>
  </si>
  <si>
    <t>svcomp_b.02-alloca.c</t>
  </si>
  <si>
    <t>svcomp_b.03_assume-alloca.c</t>
  </si>
  <si>
    <t>svcomp_b.03-no-inv_assume-alloca.c</t>
  </si>
  <si>
    <t>svcomp_b.04-alloca.c</t>
  </si>
  <si>
    <t>svcomp_b.05-alloca.c</t>
  </si>
  <si>
    <t>svcomp_b.06-alloca.c</t>
  </si>
  <si>
    <t>svcomp_b.07-alloca.c</t>
  </si>
  <si>
    <t>svcomp_b.09_assume-alloca.c</t>
  </si>
  <si>
    <t>svcomp_b.09-no-inv_assume-alloca.c</t>
  </si>
  <si>
    <t>svcomp_b.10-alloca.c</t>
  </si>
  <si>
    <t>svcomp_b.11-alloca.c</t>
  </si>
  <si>
    <t>svcomp_b.12-alloca.c</t>
  </si>
  <si>
    <t>svcomp_b.13-alloca.c</t>
  </si>
  <si>
    <t>svcomp_b.14-alloca.c</t>
  </si>
  <si>
    <t>svcomp_b.15-alloca.c</t>
  </si>
  <si>
    <t>svcomp_b.16-alloca.c</t>
  </si>
  <si>
    <t>svcomp_b.17-alloca.c</t>
  </si>
  <si>
    <t>svcomp_b.18-alloca.c</t>
  </si>
  <si>
    <t>svcomp_Ben-Amram-2010LMCS-Ex2.3_true-alloca.c</t>
  </si>
  <si>
    <t>svcomp_BradleyMannaSipma-2005CAV-Fig1_true-alloca.c</t>
  </si>
  <si>
    <t>svcomp_BradleyMannaSipma-2005CAV-Fig1-modified_false-termination.c</t>
  </si>
  <si>
    <t>svcomp_BradleyMannaSipma-2005ICALP-Fig1_true-alloca.c</t>
  </si>
  <si>
    <t>svcomp_BrockschmidtCookFuhs-2013CAV-Fig1_true-alloca.c</t>
  </si>
  <si>
    <t>svcomp_BrockschmidtCookFuhs-2013CAV-Introduction_true-alloca.c</t>
  </si>
  <si>
    <t>svcomp_bubblesort_alloca.c</t>
  </si>
  <si>
    <t>svcomp_c.01_assume-alloca.c</t>
  </si>
  <si>
    <t>svcomp_c.01-no-inv-alloca.c</t>
  </si>
  <si>
    <t>svcomp_c.02-alloca.c</t>
  </si>
  <si>
    <t>svcomp_c.03-alloca.c</t>
  </si>
  <si>
    <t>svcomp_c.07-alloca.c</t>
  </si>
  <si>
    <t>svcomp_c.08-alloca.c</t>
  </si>
  <si>
    <t>svcomp_ChenFlurMukhopadhyay-2012SAS-Fig1_true-alloca.c</t>
  </si>
  <si>
    <t>svcomp_CookSeeZuleger-2013TACAS-Fig3_true-alloca.c</t>
  </si>
  <si>
    <t>svcomp_CookSeeZuleger-2013TACAS-Fig7a_true-alloca.c</t>
  </si>
  <si>
    <t>svcomp_CookSeeZuleger-2013TACAS-Fig7b_true-alloca.c</t>
  </si>
  <si>
    <t>svcomp_count_down_alloca.c</t>
  </si>
  <si>
    <t>svcomp_cstrcat_alloca.c</t>
  </si>
  <si>
    <t>svcomp_cstrchr_true_alloca.c</t>
  </si>
  <si>
    <t>svcomp_cstrcmp_true_alloca.c</t>
  </si>
  <si>
    <t>svcomp_cstrcpy_alloca.c</t>
  </si>
  <si>
    <t>svcomp_cstrcspn_true_alloca.c</t>
  </si>
  <si>
    <t>svcomp_cstrlen_true_alloca.c</t>
  </si>
  <si>
    <t>svcomp_cstrncat_alloca.c</t>
  </si>
  <si>
    <t>svcomp_cstrncmp_true_alloca.c</t>
  </si>
  <si>
    <t>svcomp_cstrncpy_alloca.c</t>
  </si>
  <si>
    <t>svcomp_cstrpbrk_true_alloca.c</t>
  </si>
  <si>
    <t>svcomp_cstrspn_true_alloca.c</t>
  </si>
  <si>
    <t>svcomp_diff_alloca.c</t>
  </si>
  <si>
    <t>svcomp_easySum-alloca.c</t>
  </si>
  <si>
    <t>svcomp_ex1-alloca.c</t>
  </si>
  <si>
    <t>svcomp_ex2-alloca.c</t>
  </si>
  <si>
    <t>svcomp_ex3a-alloca.c</t>
  </si>
  <si>
    <t>svcomp_ex3b-alloca.c</t>
  </si>
  <si>
    <t>svcomp_fermat-alloca.c</t>
  </si>
  <si>
    <t>svcomp_flag-alloca.c</t>
  </si>
  <si>
    <t>svcomp_gcd1_true-alloca.c</t>
  </si>
  <si>
    <t>svcomp_genady_true-alloca.c</t>
  </si>
  <si>
    <t>svcomp_GulwaniJainKoskinen-2009PLDI-Fig1_true-alloca.c</t>
  </si>
  <si>
    <t>svcomp_HarrisLalNoriRajamani-2010SAS-Fig1_true-alloca.c</t>
  </si>
  <si>
    <t>svcomp_HarrisLalNoriRajamani-2010SAS-Fig2_false-unreach-label-termination-alloca.c</t>
  </si>
  <si>
    <t>svcomp_HarrisLalNoriRajamani-2010SAS-Fig3_true-alloca.c</t>
  </si>
  <si>
    <t>svcomp_insertionsort_alloca.c</t>
  </si>
  <si>
    <t>svcomp_java_AG313-alloca.c</t>
  </si>
  <si>
    <t>svcomp_java_Break-alloca.c</t>
  </si>
  <si>
    <t>svcomp_java_BubbleSort_alloca.c</t>
  </si>
  <si>
    <t>svcomp_java_Continue1-alloca.c</t>
  </si>
  <si>
    <t>svcomp_java_LogBuiltIn-alloca.c</t>
  </si>
  <si>
    <t>svcomp_java_Nested-alloca.c</t>
  </si>
  <si>
    <t>svcomp_java_Sequence-alloca.c</t>
  </si>
  <si>
    <t>svcomp_KroeningSharyginaTsitovichWintersteiger-2010CAV-Fig1_true-alloca.c</t>
  </si>
  <si>
    <t>svcomp_LarrazOliverasRodriguez-CarbonellRubio-2013FMCAD-Fig1_true-alloca.c</t>
  </si>
  <si>
    <t>svcomp_lis_alloca.c</t>
  </si>
  <si>
    <t>svcomp_Masse_true-alloca.c</t>
  </si>
  <si>
    <t>svcomp_min_rf_true-alloca.c</t>
  </si>
  <si>
    <t>svcomp_mult_array_alloca.c</t>
  </si>
  <si>
    <t>svcomp_NoriSharma-2013FSE-Fig7_true-alloca.c</t>
  </si>
  <si>
    <t>svcomp_NoriSharma-2013FSE-Fig8_true-alloca.c</t>
  </si>
  <si>
    <t>svcomp_openbsd_cbzero_alloca.c</t>
  </si>
  <si>
    <t>svcomp_openbsd_cmemchr_alloca.c</t>
  </si>
  <si>
    <t>svcomp_openbsd_cmemrchr_alloca.c</t>
  </si>
  <si>
    <t>svcomp_openbsd_cmemset_alloca.c</t>
  </si>
  <si>
    <t>svcomp_openbsd_cstpcpy_alloca.c</t>
  </si>
  <si>
    <t>svcomp_openbsd_cstpncpy_alloca.c</t>
  </si>
  <si>
    <t>svcomp_openbsd_cstrcat_alloca.c</t>
  </si>
  <si>
    <t>svcomp_openbsd_cstrcmp_alloca.c</t>
  </si>
  <si>
    <t>svcomp_openbsd_cstrcpy_alloca.c</t>
  </si>
  <si>
    <t>svcomp_openbsd_cstrcspn_alloca.c</t>
  </si>
  <si>
    <t>svcomp_openbsd_cstrlcpy_alloca.c</t>
  </si>
  <si>
    <t>svcomp_openbsd_cstrlen_alloca.c</t>
  </si>
  <si>
    <t>svcomp_openbsd_cstrncat_alloca.c</t>
  </si>
  <si>
    <t>svcomp_openbsd_cstrncmp_alloca.c</t>
  </si>
  <si>
    <t>svcomp_openbsd_cstrncpy_alloca.c</t>
  </si>
  <si>
    <t>svcomp_openbsd_cstrnlen_alloca.c</t>
  </si>
  <si>
    <t>svcomp_openbsd_cstrpbrk_alloca.c</t>
  </si>
  <si>
    <t>svcomp_openbsd_cstrspn_alloca.c</t>
  </si>
  <si>
    <t>svcomp_openbsd_cstrstr_alloca.c</t>
  </si>
  <si>
    <t>svcomp_PodelskiRybalchenko-2004VMCAI-Ex2_true-alloca.c</t>
  </si>
  <si>
    <t>svcomp_selectionsort_alloca.c</t>
  </si>
  <si>
    <t>svcomp_stroeder1_alloca.c</t>
  </si>
  <si>
    <t>svcomp_stroeder2_alloca.c</t>
  </si>
  <si>
    <t>svcomp_strreplace_alloca.c</t>
  </si>
  <si>
    <t>svcomp_subseq_alloca.c</t>
  </si>
  <si>
    <t>svcomp_substring_alloca.c</t>
  </si>
  <si>
    <t>svcomp_TelAviv-Amir-Minimum_true-alloca.c</t>
  </si>
  <si>
    <t>svcomp_Toulouse-BranchesToLoop_true-alloca.c</t>
  </si>
  <si>
    <t>svcomp_Toulouse-MultiBranchesToLoop_true-alloca.c</t>
  </si>
  <si>
    <t>svcomp_twisted-alloca.c</t>
  </si>
  <si>
    <t>svcomp_Urban_true-alloca.c</t>
  </si>
  <si>
    <t>svcomp_Urban-2013WST-Fig1_false-unreach-label-termination-alloca.c</t>
  </si>
  <si>
    <t>svcomp_Urban-2013WST-Fig2_true-alloca.c</t>
  </si>
  <si>
    <t>svcomp_Urban-2013WST-Fig2-modified1000_true-alloca.c</t>
  </si>
  <si>
    <t>svcomp_Velroyen_false-unreach-label-termination-alloca.c</t>
  </si>
  <si>
    <t>AProVE_memory_alloca</t>
  </si>
  <si>
    <t>svcomp_add_last_unsafe.c</t>
  </si>
  <si>
    <t>svcomp_bubble_sort_unsafe.c</t>
  </si>
  <si>
    <t>svcomp_bubblesort_unsafe.c</t>
  </si>
  <si>
    <t>svcomp_count_down_unsafe.c</t>
  </si>
  <si>
    <t>svcomp_cstrcat_unsafe.c</t>
  </si>
  <si>
    <t>svcomp_cstrchr_unsafe.c</t>
  </si>
  <si>
    <t>svcomp_cstrcpy_unsafe.c</t>
  </si>
  <si>
    <t>svcomp_cstrlen_unsafe.c</t>
  </si>
  <si>
    <t>svcomp_cstrncat_unsafe.c</t>
  </si>
  <si>
    <t>svcomp_cstrncpy_unsafe.c</t>
  </si>
  <si>
    <t>svcomp_cstrpbrk_unsafe.c</t>
  </si>
  <si>
    <t>svcomp_delete_alloca_unsafe.c</t>
  </si>
  <si>
    <t>svcomp_delete_unsafe.c</t>
  </si>
  <si>
    <t>svcomp_diff_usafe.c</t>
  </si>
  <si>
    <t>svcomp_insertion_sort_unsafe.c</t>
  </si>
  <si>
    <t>svcomp_insertionsort_unsafe.c</t>
  </si>
  <si>
    <t>svcomp_java_BubbleSort_unsafe.c</t>
  </si>
  <si>
    <t>svcomp_knapsack_alloca_unsafe.c</t>
  </si>
  <si>
    <t>svcomp_knapsack_unsafe.c</t>
  </si>
  <si>
    <t>svcomp_lis_unsafe.c</t>
  </si>
  <si>
    <t>svcomp_mult_array_unsafe.c</t>
  </si>
  <si>
    <t>svcomp_reverse_array_alloca_unsafe.c</t>
  </si>
  <si>
    <t>svcomp_reverse_array_unsafe.c</t>
  </si>
  <si>
    <t>svcomp_selection_sort_unsafe.c</t>
  </si>
  <si>
    <t>svcomp_selectionsort_unsafe.c</t>
  </si>
  <si>
    <t>svcomp_stroeder1_unsafe.c</t>
  </si>
  <si>
    <t>svcomp_stroeder2_unsafe.c</t>
  </si>
  <si>
    <t>AProVE_memory_unsafe</t>
  </si>
  <si>
    <t>AProVE_numeric</t>
  </si>
  <si>
    <t>TwoWay_true.c</t>
  </si>
  <si>
    <t>TerminatorRec02_true.c</t>
  </si>
  <si>
    <t>svcomp_twisted.c</t>
  </si>
  <si>
    <t>svcomp_recHanoi02_true-unreach-call_true-termination_modified.c</t>
  </si>
  <si>
    <t>svcomp_MultCommutative_true-unreach-call_true-termination_modified.c</t>
  </si>
  <si>
    <t>svcomp_java_Sequence.c</t>
  </si>
  <si>
    <t>svcomp_java_Nested.c</t>
  </si>
  <si>
    <t>svcomp_java_LogBuiltIn.c</t>
  </si>
  <si>
    <t>svcomp_java_Continue1.c</t>
  </si>
  <si>
    <t>svcomp_java_Break.c</t>
  </si>
  <si>
    <t>svcomp_java_AG313.c</t>
  </si>
  <si>
    <t>svcomp_gcd01_true-unreach-call_true-termination_modified.c</t>
  </si>
  <si>
    <t>svcomp_flag.c</t>
  </si>
  <si>
    <t>svcomp_Fibonacci01_true-unreach-call_modified.c</t>
  </si>
  <si>
    <t>svcomp_fermat.c</t>
  </si>
  <si>
    <t>svcomp_ex3b.c</t>
  </si>
  <si>
    <t>svcomp_ex3a.c</t>
  </si>
  <si>
    <t>svcomp_ex2.c</t>
  </si>
  <si>
    <t>svcomp_ex1.c</t>
  </si>
  <si>
    <t>svcomp_EvenOdd01_true-unreach-call_true-termination_modified.c</t>
  </si>
  <si>
    <t>svcomp_easySum.c</t>
  </si>
  <si>
    <t>svcomp_c.08.c</t>
  </si>
  <si>
    <t>svcomp_c.07.c</t>
  </si>
  <si>
    <t>svcomp_c.03.c</t>
  </si>
  <si>
    <t>svcomp_c.02.c</t>
  </si>
  <si>
    <t>svcomp_c.01-no-inv.c</t>
  </si>
  <si>
    <t>svcomp_c.01_assume.c</t>
  </si>
  <si>
    <t>svcomp_b.18.c</t>
  </si>
  <si>
    <t>svcomp_b.17.c</t>
  </si>
  <si>
    <t>svcomp_b.16.c</t>
  </si>
  <si>
    <t>svcomp_b.15.c</t>
  </si>
  <si>
    <t>svcomp_b.14.c</t>
  </si>
  <si>
    <t>svcomp_b.13.c</t>
  </si>
  <si>
    <t>svcomp_b.12.c</t>
  </si>
  <si>
    <t>svcomp_b.11.c</t>
  </si>
  <si>
    <t>svcomp_b.10.c</t>
  </si>
  <si>
    <t>svcomp_b.09-no-inv_assume.c</t>
  </si>
  <si>
    <t>svcomp_b.09_assume.c</t>
  </si>
  <si>
    <t>svcomp_b.07.c</t>
  </si>
  <si>
    <t>svcomp_b.06.c</t>
  </si>
  <si>
    <t>svcomp_b.05.c</t>
  </si>
  <si>
    <t>svcomp_b.04.c</t>
  </si>
  <si>
    <t>svcomp_b.03-no-inv_assume.c</t>
  </si>
  <si>
    <t>svcomp_b.03_assume.c</t>
  </si>
  <si>
    <t>svcomp_b.02.c</t>
  </si>
  <si>
    <t>svcomp_b.01.c</t>
  </si>
  <si>
    <t>svcomp_Addition01_true-unreach-call_true-termination_modified.c</t>
  </si>
  <si>
    <t>svcomp_Ackermann01_true-unreach-call_modified_modified.c</t>
  </si>
  <si>
    <t>svcomp_a.10.c</t>
  </si>
  <si>
    <t>svcomp_a.09_assume.c</t>
  </si>
  <si>
    <t>svcomp_a.08.c</t>
  </si>
  <si>
    <t>svcomp_a.07.c</t>
  </si>
  <si>
    <t>svcomp_a.06.c</t>
  </si>
  <si>
    <t>svcomp_a.05.c</t>
  </si>
  <si>
    <t>svcomp_a.04.c</t>
  </si>
  <si>
    <t>svcomp_a.01.c</t>
  </si>
  <si>
    <t>rec_strlen.c</t>
  </si>
  <si>
    <t>rec_counter3.c</t>
  </si>
  <si>
    <t>rec_counter1.c</t>
  </si>
  <si>
    <t>Parts_true.c</t>
  </si>
  <si>
    <t>LogRecursive_true.c</t>
  </si>
  <si>
    <t>LeUserDefRec_true.c</t>
  </si>
  <si>
    <t>ex3.c</t>
  </si>
  <si>
    <t>ex2.c</t>
  </si>
  <si>
    <t>Et4_true.c</t>
  </si>
  <si>
    <t>Et3_true.c</t>
  </si>
  <si>
    <t>Et2_true.c</t>
  </si>
  <si>
    <t>Et1_true.c</t>
  </si>
  <si>
    <t>Binomial_true.c</t>
  </si>
  <si>
    <t>Avg_true.c</t>
  </si>
  <si>
    <t>Di_Stefano_20</t>
  </si>
  <si>
    <t>boids_true-termination.c</t>
  </si>
  <si>
    <t>flock-noarray_true-termination.c</t>
  </si>
  <si>
    <t>majority_true-termination.c</t>
  </si>
  <si>
    <t>formation_true-termination.c</t>
  </si>
  <si>
    <t>formation-noarray_true-termination.c</t>
  </si>
  <si>
    <t>flock_true-termination.c</t>
  </si>
  <si>
    <t>majority-noarray_true-termination.c</t>
  </si>
  <si>
    <t>Hensel_22</t>
  </si>
  <si>
    <t>desc_ll_search_existing.c</t>
  </si>
  <si>
    <t>nondet_ll_traverse_rec.c</t>
  </si>
  <si>
    <t>nondet_ll_skip.c</t>
  </si>
  <si>
    <t>nondet_ll_traverse.c</t>
  </si>
  <si>
    <t>desc_ll_search_last.c</t>
  </si>
  <si>
    <t>desc_ll_search_mod.c</t>
  </si>
  <si>
    <t>nondet_ll_search_zero.c</t>
  </si>
  <si>
    <t>desc_ll_search-ptrdiff_existing.c</t>
  </si>
  <si>
    <t>nondet_ll_init.c</t>
  </si>
  <si>
    <t>cyclic_ll_search_last.c</t>
  </si>
  <si>
    <t>nondet_ll_search_last_n.c</t>
  </si>
  <si>
    <t>desc_ll_with_offset_search.c</t>
  </si>
  <si>
    <t>nondet_ll_init_rec.c</t>
  </si>
  <si>
    <t>nondet_ll_traverse-ptrdiff.c</t>
  </si>
  <si>
    <t>nondet_ll_search_last_zero.c</t>
  </si>
  <si>
    <t>nondet_ll_delete.c</t>
  </si>
  <si>
    <t>asc_ll_search_last.c</t>
  </si>
  <si>
    <t>nondet_ll_insert.c</t>
  </si>
  <si>
    <t>WhileTrue.c</t>
  </si>
  <si>
    <t>WhileTrue_false-termination.c</t>
  </si>
  <si>
    <t>WhileSingle.c</t>
  </si>
  <si>
    <t>WhilePart.c</t>
  </si>
  <si>
    <t>WhileNestedOffset.c</t>
  </si>
  <si>
    <t>WhileNested.c</t>
  </si>
  <si>
    <t>WhileIncrPart.c</t>
  </si>
  <si>
    <t>WhileIncr.c</t>
  </si>
  <si>
    <t>WhileFalse_true-termination.c</t>
  </si>
  <si>
    <t>WhileDecr.c</t>
  </si>
  <si>
    <t>Waldkirch_true-termination.c</t>
  </si>
  <si>
    <t>Velroyen_false-termination.c</t>
  </si>
  <si>
    <t>UrbanMine-ESOP2014-Fig3_true-termination.c</t>
  </si>
  <si>
    <t>Urban-WST2013-Fig2-modified1000_true-termination.c</t>
  </si>
  <si>
    <t>Urban-WST2013-Fig2_true-termination.c</t>
  </si>
  <si>
    <t>Urban-WST2013-Fig1_false-termination.c</t>
  </si>
  <si>
    <t>UpAndDownIneq.c</t>
  </si>
  <si>
    <t>UpAndDown.c</t>
  </si>
  <si>
    <t>TwoFloatInterv.c</t>
  </si>
  <si>
    <t>TrueDiv.c</t>
  </si>
  <si>
    <t>Toulouse-MultiBranchesToLoop_true-termination.c</t>
  </si>
  <si>
    <t>Toulouse-BranchesToLoop_true-termination.c</t>
  </si>
  <si>
    <t>Thun_true-termination.c</t>
  </si>
  <si>
    <t>TelAviv-Amir-Minimum_true-termination.c</t>
  </si>
  <si>
    <t>Swingers.c</t>
  </si>
  <si>
    <t>Sunset.c</t>
  </si>
  <si>
    <t>Stockholm_true-termination.c</t>
  </si>
  <si>
    <t>Sequence.c</t>
  </si>
  <si>
    <t>Rotation180_false-termination.c</t>
  </si>
  <si>
    <t>Pure3Phase_true-termination.c</t>
  </si>
  <si>
    <t>Pure2Phase_true-termination.c</t>
  </si>
  <si>
    <t>PodelskiRybalchenko-VMCAI2004-Ex2_true-termination.c</t>
  </si>
  <si>
    <t>PodelskiRybalchenko-VMCAI2004-Ex1_true-termination.c</t>
  </si>
  <si>
    <t>PodelskiRybalchenko-TACAS2011-Fig4_true-termination.c</t>
  </si>
  <si>
    <t>PodelskiRybalchenko-TACAS2011-Fig2_true-termination.c</t>
  </si>
  <si>
    <t>PodelskiRybalchenko-TACAS2011-Fig1_true-termination.c</t>
  </si>
  <si>
    <t>PodelskiRybalchenko-LICS2004-Fig2-TACAS2011-Fig3_true-termination.c</t>
  </si>
  <si>
    <t>PodelskiRybalchenko-LICS2004-Fig1_true-termination.c</t>
  </si>
  <si>
    <t>PlusSwap.c</t>
  </si>
  <si>
    <t>Piecewise_true-termination.c</t>
  </si>
  <si>
    <t>PastaC9.c</t>
  </si>
  <si>
    <t>PastaC7.c</t>
  </si>
  <si>
    <t>PastaC3.c</t>
  </si>
  <si>
    <t>PastaC2.c</t>
  </si>
  <si>
    <t>PastaC10.c</t>
  </si>
  <si>
    <t>PastaC1.c</t>
  </si>
  <si>
    <t>PastaB7.c</t>
  </si>
  <si>
    <t>PastaB6.c</t>
  </si>
  <si>
    <t>PastaB4.c</t>
  </si>
  <si>
    <t>PastaB3.c</t>
  </si>
  <si>
    <t>PastaB2.c</t>
  </si>
  <si>
    <t>PastaB17.c</t>
  </si>
  <si>
    <t>PastaB16.c</t>
  </si>
  <si>
    <t>PastaB15.c</t>
  </si>
  <si>
    <t>PastaB14.c</t>
  </si>
  <si>
    <t>PastaB11.c</t>
  </si>
  <si>
    <t>PastaB1.c</t>
  </si>
  <si>
    <t>PastaA9.c</t>
  </si>
  <si>
    <t>PastaA8.c</t>
  </si>
  <si>
    <t>PastaA7.c</t>
  </si>
  <si>
    <t>PastaA6.c</t>
  </si>
  <si>
    <t>PastaA5.c</t>
  </si>
  <si>
    <t>PastaA4.c</t>
  </si>
  <si>
    <t>PastaA10.c</t>
  </si>
  <si>
    <t>PastaA1.c</t>
  </si>
  <si>
    <t>Parallel_true-termination.c</t>
  </si>
  <si>
    <t>Overflow.c</t>
  </si>
  <si>
    <t>Nyala-2lex_true-termination.c</t>
  </si>
  <si>
    <t>NoriSharma-FSE2013-Fig8_true-termination.c</t>
  </si>
  <si>
    <t>NoriSharma-FSE2013-Fig7_true-termination.c</t>
  </si>
  <si>
    <t>NonTerminationSimple9_false-termination.c</t>
  </si>
  <si>
    <t>NonTerminationSimple8_false-termination.c</t>
  </si>
  <si>
    <t>NonTerminationSimple7_false-termination.c</t>
  </si>
  <si>
    <t>NonTerminationSimple6_false-termination.c</t>
  </si>
  <si>
    <t>NonTerminationSimple5_false-termination.c</t>
  </si>
  <si>
    <t>NonTerminationSimple4_false-termination.c</t>
  </si>
  <si>
    <t>NonTerminationSimple3_false-termination.c</t>
  </si>
  <si>
    <t>NonTerminationSimple2_false-termination.c</t>
  </si>
  <si>
    <t>NonTermination4_false-termination.c</t>
  </si>
  <si>
    <t>NonTermination2_false-termination.c</t>
  </si>
  <si>
    <t>NonTermination1_false-termination.c</t>
  </si>
  <si>
    <t>NO_24.c</t>
  </si>
  <si>
    <t>NO_23.c</t>
  </si>
  <si>
    <t>NO_22.c</t>
  </si>
  <si>
    <t>NO_21.c</t>
  </si>
  <si>
    <t>NO_13.c</t>
  </si>
  <si>
    <t>NO_12.c</t>
  </si>
  <si>
    <t>NO_10.c</t>
  </si>
  <si>
    <t>NO_04.c</t>
  </si>
  <si>
    <t>NO_03.c</t>
  </si>
  <si>
    <t>NO_02.c</t>
  </si>
  <si>
    <t>NO_01.c</t>
  </si>
  <si>
    <t>NO_00.c</t>
  </si>
  <si>
    <t>Nested.c</t>
  </si>
  <si>
    <t>NarrowKonv.c</t>
  </si>
  <si>
    <t>Narrowing.c</t>
  </si>
  <si>
    <t>Mysore_true-termination.c</t>
  </si>
  <si>
    <t>MirrorIntervSim.c</t>
  </si>
  <si>
    <t>MirrorInterv.c</t>
  </si>
  <si>
    <t>MinusUserDefined.c</t>
  </si>
  <si>
    <t>MinusMin.c</t>
  </si>
  <si>
    <t>MinusBuiltIn.c</t>
  </si>
  <si>
    <t>min_rf_true-termination.c</t>
  </si>
  <si>
    <t>Middle.c</t>
  </si>
  <si>
    <t>MenloPark_true-termination.c</t>
  </si>
  <si>
    <t>McCarthyIterative.c</t>
  </si>
  <si>
    <t>Masse-VMCAI2014-Fig1b_true-termination.c</t>
  </si>
  <si>
    <t>Masse-VMCAI2014-Fig1a_true-termination.c</t>
  </si>
  <si>
    <t>Masse-VMCAI2014-Ex6_true-termination.c</t>
  </si>
  <si>
    <t>Marbie2.c</t>
  </si>
  <si>
    <t>Marbie1.c</t>
  </si>
  <si>
    <t>Madrid_false-termination.c</t>
  </si>
  <si>
    <t>Loop.c</t>
  </si>
  <si>
    <t>LogMult.c</t>
  </si>
  <si>
    <t>LogAG.c</t>
  </si>
  <si>
    <t>Log.c</t>
  </si>
  <si>
    <t>Lobnya-Boolean-Reordered_true-termination.c</t>
  </si>
  <si>
    <t>LeikeHeizmann-WST2014-Ex6_false-termination.c</t>
  </si>
  <si>
    <t>LeikeHeizmann-WST2014-Ex5_false-termination.c</t>
  </si>
  <si>
    <t>LeikeHeizmann-TACAS2014-Fig1_true-termination.c</t>
  </si>
  <si>
    <t>LeikeHeizmann-TACAS2014-Ex9_true-termination.c</t>
  </si>
  <si>
    <t>LeikeHeizmann-TACAS2014-Ex8_true-termination.c</t>
  </si>
  <si>
    <t>LeikeHeizmann-TACAS2014-Ex7_true-termination.c</t>
  </si>
  <si>
    <t>LeikeHeizmann-TACAS2014-Ex1_true-termination.c</t>
  </si>
  <si>
    <t>Lcm.c</t>
  </si>
  <si>
    <t>LarrazOliverasRodriguez-CarbonellRubio-FMCAD2013-Fig1_true-termination.c</t>
  </si>
  <si>
    <t>KroeningSharyginaTsitovichWintersteiger-CAV2010-Ex_true-termination.c</t>
  </si>
  <si>
    <t>IntPath.c</t>
  </si>
  <si>
    <t>HeizmannHoenickeLeikePodelski-ATVA2013-Fig9_true-termination.c</t>
  </si>
  <si>
    <t>HeizmannHoenickeLeikePodelski-ATVA2013-Fig8_true-termination.c</t>
  </si>
  <si>
    <t>HeizmannHoenickeLeikePodelski-ATVA2013-Fig6_true-termination.c</t>
  </si>
  <si>
    <t>HeizmannHoenickeLeikePodelski-ATVA2013-Fig4_true-termination.c</t>
  </si>
  <si>
    <t>HeizmannHoenickeLeikePodelski-ATVA2013-Fig1_true-termination.c</t>
  </si>
  <si>
    <t>GulwaniJainKoskinen-PLDI2009-Fig1_true-termination.c</t>
  </si>
  <si>
    <t>GulavaniGulwani-CAV2008-Fig1c_true-termination.c</t>
  </si>
  <si>
    <t>GulavaniGulwani-CAV2008-Fig1b_true-termination.c</t>
  </si>
  <si>
    <t>GulavaniGulwani-CAV2008-Fig1a_true-termination.c</t>
  </si>
  <si>
    <t>Gothenburg_true-termination.c</t>
  </si>
  <si>
    <t>GopanReps-CAV2006-Fig1a_true-termination.c.c</t>
  </si>
  <si>
    <t>genady_true-termination.c</t>
  </si>
  <si>
    <t>GCD4.c</t>
  </si>
  <si>
    <t>GCD3.c</t>
  </si>
  <si>
    <t>GCD2.c</t>
  </si>
  <si>
    <t>gcd1_true-termination.c</t>
  </si>
  <si>
    <t>GCD.c</t>
  </si>
  <si>
    <t>Gauss.c</t>
  </si>
  <si>
    <t>Flip2.c</t>
  </si>
  <si>
    <t>Flip.c</t>
  </si>
  <si>
    <t>Fibonacci.c</t>
  </si>
  <si>
    <t>Factorial.c</t>
  </si>
  <si>
    <t>Ex08.c</t>
  </si>
  <si>
    <t>Ex07.c</t>
  </si>
  <si>
    <t>Ex06.c</t>
  </si>
  <si>
    <t>Ex05.c</t>
  </si>
  <si>
    <t>Ex04.c</t>
  </si>
  <si>
    <t>Ex03.c</t>
  </si>
  <si>
    <t>Ex02.c</t>
  </si>
  <si>
    <t>Ex01.c</t>
  </si>
  <si>
    <t>Even.c</t>
  </si>
  <si>
    <t>Et4.c</t>
  </si>
  <si>
    <t>Et2.c</t>
  </si>
  <si>
    <t>Et1.c</t>
  </si>
  <si>
    <t>easy2_true-termination.c</t>
  </si>
  <si>
    <t>easy1_true-termination.c</t>
  </si>
  <si>
    <t>DoubleNeg.c</t>
  </si>
  <si>
    <t>DivWithoutMinus.c</t>
  </si>
  <si>
    <t>DivMinus2.c</t>
  </si>
  <si>
    <t>DivMinus.c</t>
  </si>
  <si>
    <t>Cousot.c</t>
  </si>
  <si>
    <t>Copenhagen_true-termination.c</t>
  </si>
  <si>
    <t>CookSeeZuleger-TACAS2013-Fig8b_true-termination.c</t>
  </si>
  <si>
    <t>CookSeeZuleger-TACAS2013-Fig8a-modified_true-termination.c</t>
  </si>
  <si>
    <t>CookSeeZuleger-TACAS2013-Fig8a_true-termination.c</t>
  </si>
  <si>
    <t>CookSeeZuleger-TACAS2013-Fig7b_true-termination.c</t>
  </si>
  <si>
    <t>CookSeeZuleger-TACAS2013-Fig7a_true-termination.c</t>
  </si>
  <si>
    <t>CookSeeZuleger-TACAS2013-Fig1_true-termination.c</t>
  </si>
  <si>
    <t>ConvLower.c</t>
  </si>
  <si>
    <t>ComplxStruc.c</t>
  </si>
  <si>
    <t>ComplInterv3.c</t>
  </si>
  <si>
    <t>ComplInterv2.c</t>
  </si>
  <si>
    <t>ComplInterv.c</t>
  </si>
  <si>
    <t>ColonSipma-TACAS2001-Fig1_true-termination.c</t>
  </si>
  <si>
    <t>collatz.c</t>
  </si>
  <si>
    <t>ChooseLife.c</t>
  </si>
  <si>
    <t>Choose.c</t>
  </si>
  <si>
    <t>ChenFlurMukhopadhyay-SAS2012-Fig1_true-termination.c</t>
  </si>
  <si>
    <t>ChenFlurMukhopadhyay-SAS2012-Ex4.01_true-termination.c</t>
  </si>
  <si>
    <t>ChenFlurMukhopadhyay-SAS2012-Ex3.10_true-termination.c</t>
  </si>
  <si>
    <t>ChenFlurMukhopadhyay-SAS2012-Ex3.09_true-termination.c</t>
  </si>
  <si>
    <t>ChenFlurMukhopadhyay-SAS2012-Ex3.08_true-termination.c</t>
  </si>
  <si>
    <t>ChenFlurMukhopadhyay-SAS2012-Ex3.07_true-termination.c</t>
  </si>
  <si>
    <t>ChenFlurMukhopadhyay-SAS2012-Ex3.06_false-termination.c</t>
  </si>
  <si>
    <t>ChenFlurMukhopadhyay-SAS2012-Ex3.05_true-termination.c</t>
  </si>
  <si>
    <t>ChenFlurMukhopadhyay-SAS2012-Ex3.04_true-termination.c</t>
  </si>
  <si>
    <t>ChenFlurMukhopadhyay-SAS2012-Ex3.03_true-termination.c</t>
  </si>
  <si>
    <t>ChenFlurMukhopadhyay-SAS2012-Ex3.02_false-termination.c</t>
  </si>
  <si>
    <t>ChenFlurMukhopadhyay-SAS2012-Ex3.01_true-termination.c</t>
  </si>
  <si>
    <t>ChenFlurMukhopadhyay-SAS2012-Ex2.22_true-termination.c</t>
  </si>
  <si>
    <t>ChenFlurMukhopadhyay-SAS2012-Ex2.21_true-termination.c</t>
  </si>
  <si>
    <t>ChenFlurMukhopadhyay-SAS2012-Ex2.20_true-termination.c</t>
  </si>
  <si>
    <t>ChenFlurMukhopadhyay-SAS2012-Ex2.19_true-termination.c</t>
  </si>
  <si>
    <t>ChenFlurMukhopadhyay-SAS2012-Ex2.18_true-termination.c</t>
  </si>
  <si>
    <t>ChenFlurMukhopadhyay-SAS2012-Ex2.17_false-termination.c</t>
  </si>
  <si>
    <t>ChenFlurMukhopadhyay-SAS2012-Ex2.16_true-termination.c</t>
  </si>
  <si>
    <t>ChenFlurMukhopadhyay-SAS2012-Ex2.15_false-termination.c</t>
  </si>
  <si>
    <t>ChenFlurMukhopadhyay-SAS2012-Ex2.14_false-termination.c</t>
  </si>
  <si>
    <t>ChenFlurMukhopadhyay-SAS2012-Ex2.13_true-termination.c</t>
  </si>
  <si>
    <t>ChenFlurMukhopadhyay-SAS2012-Ex2.12_false-termination.c</t>
  </si>
  <si>
    <t>ChenFlurMukhopadhyay-SAS2012-Ex2.11_false-termination.c</t>
  </si>
  <si>
    <t>ChenFlurMukhopadhyay-SAS2012-Ex2.10_true-termination.c</t>
  </si>
  <si>
    <t>ChenFlurMukhopadhyay-SAS2012-Ex2.09_true-termination.c</t>
  </si>
  <si>
    <t>ChenFlurMukhopadhyay-SAS2012-Ex2.08_true-termination.c</t>
  </si>
  <si>
    <t>ChenFlurMukhopadhyay-SAS2012-Ex2.07_true-termination.c</t>
  </si>
  <si>
    <t>ChenFlurMukhopadhyay-SAS2012-Ex2.06_false-termination.c</t>
  </si>
  <si>
    <t>ChenFlurMukhopadhyay-SAS2012-Ex2.04_false-termination.c</t>
  </si>
  <si>
    <t>ChenFlurMukhopadhyay-SAS2012-Ex2.03_false-termination.c</t>
  </si>
  <si>
    <t>ChenFlurMukhopadhyay-SAS2012-Ex2.02_false-termination.c</t>
  </si>
  <si>
    <t>ChenFlurMukhopadhyay-SAS2012-Ex2.01_true-termination.c</t>
  </si>
  <si>
    <t>ChenFlurMukhopadhyay-SAS2012-Ex1.05_true-termination.c</t>
  </si>
  <si>
    <t>ChenFlurMukhopadhyay-SAS2012-Ex1.04_true-termination.c</t>
  </si>
  <si>
    <t>ChenFlurMukhopadhyay-SAS2012-Ex1.03_true-termination.c</t>
  </si>
  <si>
    <t>ChenFlurMukhopadhyay-SAS2012-Ex1.02_true-termination.c</t>
  </si>
  <si>
    <t>ChenFlurMukhopadhyay-SAS2012-Ex1.01_true-termination.c</t>
  </si>
  <si>
    <t>ChenCookFuhsNimkarOHearn-TACAS2014-Introduction_false-termination.c</t>
  </si>
  <si>
    <t>ChawdharyCookGulwaniSagivYang-ESOP2008-random2d_true-termination.c</t>
  </si>
  <si>
    <t>ChawdharyCookGulwaniSagivYang-ESOP2008-random1d_true-termination.c</t>
  </si>
  <si>
    <t>ChawdharyCookGulwaniSagivYang-ESOP2008-aaron6_true-termination.c</t>
  </si>
  <si>
    <t>ChawdharyCookGulwaniSagivYang-ESOP2008-aaron4_true-termination.c</t>
  </si>
  <si>
    <t>ChawdharyCookGulwaniSagivYang-ESOP2008-aaron12_true-termination.c</t>
  </si>
  <si>
    <t>ChawdharyCookGulwaniSagivYang-ESOP2008-aaron1_true-termination.c</t>
  </si>
  <si>
    <t>Cairo_true-termination.c</t>
  </si>
  <si>
    <t>BrockschmidtCookFuhs-CAV2013-Introduction_true-termination.c</t>
  </si>
  <si>
    <t>BrockschmidtCookFuhs-CAV2013-Fig9a_true-termination.c</t>
  </si>
  <si>
    <t>BrockschmidtCookFuhs-CAV2013-Fig1_true-termination.c</t>
  </si>
  <si>
    <t>BradleyMannaSipma-ICALP2005-Fig1_true-termination.c</t>
  </si>
  <si>
    <t>BradleyMannaSipma-CAV2005-Fig1-modified_false-termination.c</t>
  </si>
  <si>
    <t>BradleyMannaSipma-CAV2005-Fig1_true-termination.c</t>
  </si>
  <si>
    <t>Benghazi_true-termination.c</t>
  </si>
  <si>
    <t>Ben-Amram-LMCS2010-Ex2.3_true-termination.c</t>
  </si>
  <si>
    <t>Bangalore_true-termination.c</t>
  </si>
  <si>
    <t>Avery-FLOPS2006-Table1_true-termination.c</t>
  </si>
  <si>
    <t>AlternKonv.c</t>
  </si>
  <si>
    <t>AlternDivWidening.c</t>
  </si>
  <si>
    <t>AlternDivWide.c</t>
  </si>
  <si>
    <t>AlternDiv.c</t>
  </si>
  <si>
    <t>AliasDarteFeautrierGonnord-SAS2010-wise_true-termination.c</t>
  </si>
  <si>
    <t>AliasDarteFeautrierGonnord-SAS2010-while2_true-termination.c</t>
  </si>
  <si>
    <t>AliasDarteFeautrierGonnord-SAS2010-wcet2_true-termination.c</t>
  </si>
  <si>
    <t>AliasDarteFeautrierGonnord-SAS2010-terminate_true-termination.c</t>
  </si>
  <si>
    <t>AliasDarteFeautrierGonnord-SAS2010-speedpldi4_true-termination.c</t>
  </si>
  <si>
    <t>AliasDarteFeautrierGonnord-SAS2010-speedpldi3_true-termination.c</t>
  </si>
  <si>
    <t>AliasDarteFeautrierGonnord-SAS2010-speedpldi2_true-termination.c</t>
  </si>
  <si>
    <t>AliasDarteFeautrierGonnord-SAS2010-speedFails4_true-termination.c</t>
  </si>
  <si>
    <t>AliasDarteFeautrierGonnord-SAS2010-rsd_true-termination.c</t>
  </si>
  <si>
    <t>AliasDarteFeautrierGonnord-SAS2010-random2d_true-termination.c</t>
  </si>
  <si>
    <t>AliasDarteFeautrierGonnord-SAS2010-random1d_true-termination.c</t>
  </si>
  <si>
    <t>AliasDarteFeautrierGonnord-SAS2010-nestedLoop_true-termination.c</t>
  </si>
  <si>
    <t>AliasDarteFeautrierGonnord-SAS2010-ndecr_true-termination.c</t>
  </si>
  <si>
    <t>AliasDarteFeautrierGonnord-SAS2010-loops_true-termination.c</t>
  </si>
  <si>
    <t>AliasDarteFeautrierGonnord-SAS2010-Fig2b_true-termination.c</t>
  </si>
  <si>
    <t>AliasDarteFeautrierGonnord-SAS2010-Fig2a_true-termination.c</t>
  </si>
  <si>
    <t>AliasDarteFeautrierGonnord-SAS2010-Fig1_true-termination.c</t>
  </si>
  <si>
    <t>AliasDarteFeautrierGonnord-SAS2010-exmini_true-termination.c</t>
  </si>
  <si>
    <t>AliasDarteFeautrierGonnord-SAS2010-cousot9_true-termination.c</t>
  </si>
  <si>
    <t>AliasDarteFeautrierGonnord-SAS2010-counterex1b_true-termination.c</t>
  </si>
  <si>
    <t>AliasDarteFeautrierGonnord-SAS2010-counterex1a_true-termination.c</t>
  </si>
  <si>
    <t>AliasDarteFeautrierGonnord-SAS2010-complex_true-termination.c</t>
  </si>
  <si>
    <t>aaron3_true-termination.c</t>
  </si>
  <si>
    <t>aaron2_true-termination.c</t>
  </si>
  <si>
    <t>4NestedWith3Variables_true-termination.c</t>
  </si>
  <si>
    <t>2Nested_true-termination.c</t>
  </si>
  <si>
    <t>Stroeder_15</t>
  </si>
  <si>
    <t>CPAchecker</t>
  </si>
  <si>
    <t>2LS</t>
  </si>
  <si>
    <t>AProVE</t>
  </si>
  <si>
    <t>SV-COMP_Mixed_Categories</t>
  </si>
  <si>
    <t>tree_stack_true-valid-memsafety.c</t>
  </si>
  <si>
    <t>transmitter.16_false-unreach-call_false-termination.cil.c</t>
  </si>
  <si>
    <t>transmitter.11_false-unreach-call_false-termination.cil.c</t>
  </si>
  <si>
    <t>transmitter.06_false-unreach-call_false-termination.cil.c</t>
  </si>
  <si>
    <t>transmitter.01_false-unreach-call_false-termination.cil.c</t>
  </si>
  <si>
    <t>token_ring.15_false-unreach-call_false-termination.cil.c</t>
  </si>
  <si>
    <t>token_ring.10_false-unreach-call_false-termination.cil.c</t>
  </si>
  <si>
    <t>token_ring.05_false-unreach-call_false-termination.cil.c</t>
  </si>
  <si>
    <t>token_ring.01_false-unreach-call_false-termination.cil.c</t>
  </si>
  <si>
    <t>test-0521_true-valid-memsafety.c</t>
  </si>
  <si>
    <t>test-0513_1_true-valid-memsafety.c</t>
  </si>
  <si>
    <t>test-0234_true-valid-memsafety.c</t>
  </si>
  <si>
    <t>test-0219_true-valid-memsafety.c</t>
  </si>
  <si>
    <t>test-0134_true-valid-memsafety.c</t>
  </si>
  <si>
    <t>test_locks_15_true-unreach-call_false-termination.c</t>
  </si>
  <si>
    <t>sum_non_eq_false-unreach-call.c</t>
  </si>
  <si>
    <t>sum_2x3_false-unreach-call.c</t>
  </si>
  <si>
    <t>stateful_check_false-unreach-call.c</t>
  </si>
  <si>
    <t>standard_password_true-unreach-call_ground.c</t>
  </si>
  <si>
    <t>standard_copy7_true-unreach-call_ground.c</t>
  </si>
  <si>
    <t>standard_compare_true-unreach-call_ground.c</t>
  </si>
  <si>
    <t>splice_true-unreach-call.c</t>
  </si>
  <si>
    <t>sorting_bubblesort_true-unreach-call_ground.c</t>
  </si>
  <si>
    <t>sll_to_dll_rev_true-unreach-call.c</t>
  </si>
  <si>
    <t>skiplist_3lvl_true-valid-memsafety.c</t>
  </si>
  <si>
    <t>simple-ext_1_true-valid-memsafety.c</t>
  </si>
  <si>
    <t>sanfoundry_02_true-unreach-call_ground.c</t>
  </si>
  <si>
    <t>s3_srvr_14_false-unreach-call.cil.c</t>
  </si>
  <si>
    <t>s3_srvr_1_false-unreach-call.cil.c</t>
  </si>
  <si>
    <t>s3_clnt_1_false-unreach-call.cil.c</t>
  </si>
  <si>
    <t>rekcba_nxt_false-unreach-call.1.M1.c</t>
  </si>
  <si>
    <t>rekcba_ctm_false-unreach-call.2.c</t>
  </si>
  <si>
    <t>rekcba_aso_false-unreach-call.1.M1.c</t>
  </si>
  <si>
    <t>recHanoi01_true-unreach-call_true-termination.c</t>
  </si>
  <si>
    <t>Problem19_label00_true-unreach-call.c</t>
  </si>
  <si>
    <t>Problem18_label00_false-unreach-call.c</t>
  </si>
  <si>
    <t>Problem17_label00_true-unreach-call.c</t>
  </si>
  <si>
    <t>Problem16_label00_false-unreach-call.c</t>
  </si>
  <si>
    <t>Problem15_label00_false-unreach-call.c</t>
  </si>
  <si>
    <t>Problem14_label00_true-unreach-call.c</t>
  </si>
  <si>
    <t>Problem13_label00_true-unreach-call.c</t>
  </si>
  <si>
    <t>Problem12_label00_false-unreach-call.c</t>
  </si>
  <si>
    <t>Problem11_label00_false-unreach-call.c</t>
  </si>
  <si>
    <t>Problem10_label00_true-unreach-call.c</t>
  </si>
  <si>
    <t>Problem09_label00_true-unreach-call.c</t>
  </si>
  <si>
    <t>Problem08_label00_true-unreach-call.c</t>
  </si>
  <si>
    <t>Problem07_label00_true-unreach-call.c</t>
  </si>
  <si>
    <t>Problem06_label00_false-unreach-call.c</t>
  </si>
  <si>
    <t>Problem05_label00_false-unreach-call.c</t>
  </si>
  <si>
    <t>Problem04_label00_true-unreach-call.c</t>
  </si>
  <si>
    <t>Problem03_label00_true-unreach-call.c</t>
  </si>
  <si>
    <t>Problem02_label00_true-unreach-call.c</t>
  </si>
  <si>
    <t>Problem01_label00_true-unreach-call.c</t>
  </si>
  <si>
    <t>Primes_true-unreach-call.c</t>
  </si>
  <si>
    <t>pc_sfifo_1_false-unreach-call_false-termination.cil.c</t>
  </si>
  <si>
    <t>pals_STARTPALS_Triplicated_false-unreach-call.1.ufo.BOUNDED-10.pals.c</t>
  </si>
  <si>
    <t>pals_STARTPALS_ActiveStandby_false-unreach-call.1.ufo.BOUNDED-10.pals.c</t>
  </si>
  <si>
    <t>pals_opt-floodmax.5_false-unreach-call.1.ufo.BOUNDED-10.pals.c</t>
  </si>
  <si>
    <t>pals_opt-floodmax.3_false-unreach-call.1.ufo.BOUNDED-6.pals.c</t>
  </si>
  <si>
    <t>pals_lcr.8_false-unreach-call.1.ufo.BOUNDED-16.pals.c</t>
  </si>
  <si>
    <t>pals_lcr.3_false-unreach-call.1.ufo.BOUNDED-6.pals.c</t>
  </si>
  <si>
    <t>pals_lcr-var-start-time.6_false-unreach-call.1.ufo.BOUNDED-12.pals.c</t>
  </si>
  <si>
    <t>pals_lcr-var-start-time.3_false-unreach-call.1.ufo.BOUNDED-6.pals.c</t>
  </si>
  <si>
    <t>pals_floodmax.5_false-unreach-call.1.ufo.BOUNDED-10.pals.c</t>
  </si>
  <si>
    <t>pals_floodmax.3_false-unreach-call.1.ufo.BOUNDED-6.pals.c</t>
  </si>
  <si>
    <t>minepump_spec1_product01_true-unreach-call.cil.c</t>
  </si>
  <si>
    <t>merge_sort_true-unreach-call.c</t>
  </si>
  <si>
    <t>mem_slave_tlm.1_true-unreach-call_false-termination.cil.c</t>
  </si>
  <si>
    <t>McCarthy91_false-unreach-call_false-termination.c</t>
  </si>
  <si>
    <t>lockfree-3.0_true-valid-memsafety.c</t>
  </si>
  <si>
    <t>list-ext_1_true-valid-memsafety.c</t>
  </si>
  <si>
    <t>list_true-unreach-call.c</t>
  </si>
  <si>
    <t>kbfiltr_simpl1_true-unreach-call_true-termination.cil.c</t>
  </si>
  <si>
    <t>id2_b2_o3_true-unreach-call.c</t>
  </si>
  <si>
    <t>id_i10_o10_false-unreach-call.c</t>
  </si>
  <si>
    <t>gcd01_true-unreach-call_true-termination.c</t>
  </si>
  <si>
    <t>floppy_simpl3_false-unreach-call_true-termination.cil.c</t>
  </si>
  <si>
    <t>Fibonacci01_true-unreach-call.c</t>
  </si>
  <si>
    <t>fibo_5_false-unreach-call.c</t>
  </si>
  <si>
    <t>fibo_2calls_2_false-unreach-call.c</t>
  </si>
  <si>
    <t>EvenOdd01_true-unreach-call_true-termination.c</t>
  </si>
  <si>
    <t>email_spec0_product05_true-unreach-call.cil.c</t>
  </si>
  <si>
    <t>elevator_spec1_product01_true-unreach-call.cil.c</t>
  </si>
  <si>
    <t>dll_of_dll_true-unreach-call.c</t>
  </si>
  <si>
    <t>dll_extends_pointer_true-valid-memsafety.c</t>
  </si>
  <si>
    <t>diskperf_simpl1_true-unreach-call_true-termination.cil.c</t>
  </si>
  <si>
    <t>data_structures_set_multi_proc_false-unreach-call_ground.c</t>
  </si>
  <si>
    <t>cs_time_var_mutex_true-unreach-call.c</t>
  </si>
  <si>
    <t>cs_szymanski_true-unreach-call.c</t>
  </si>
  <si>
    <t>cs_stateful_false-unreach-call.c</t>
  </si>
  <si>
    <t>cs_peterson_true-unreach-call.c</t>
  </si>
  <si>
    <t>cs_lamport_true-unreach-call.c</t>
  </si>
  <si>
    <t>cs_fib_longer_true-unreach-call.c</t>
  </si>
  <si>
    <t>cs_dekker_true-unreach-call.c</t>
  </si>
  <si>
    <t>cdaudio_simpl1_false-unreach-call_true-termination.cil.c</t>
  </si>
  <si>
    <t>bubble_sort_linux_true-unreach-call.c</t>
  </si>
  <si>
    <t>bist_cell_true-unreach-call_false-termination.cil.c</t>
  </si>
  <si>
    <t>BallRajamani-SPIN2000-Fig1_false-unreach-call.c</t>
  </si>
  <si>
    <t>afterrec_2calls_false-unreach-call.c</t>
  </si>
  <si>
    <t>Addition01_true-unreach-call_true-termination.c</t>
  </si>
  <si>
    <t>960521-1_1_true-valid-memsafety.c</t>
  </si>
  <si>
    <t>SV-COMP_Termination_Category</t>
  </si>
  <si>
    <t>svcomp_strchr_true-termination.c</t>
  </si>
  <si>
    <t>svcomp_cstrspn_true-termination.c</t>
  </si>
  <si>
    <t>svcomp_cstrpbrk_true-termination.c</t>
  </si>
  <si>
    <t>svcomp_cstrncmp_true-termination.c</t>
  </si>
  <si>
    <t>svcomp_cstrlen_true-termination.c</t>
  </si>
  <si>
    <t>svcomp_cstrcspn_true-termination.c</t>
  </si>
  <si>
    <t>svcomp_cstrcmp_true-termination.c</t>
  </si>
  <si>
    <t>PodelskiRybalchenko-LICS2004-Fig2_true-termination.c</t>
  </si>
  <si>
    <t>LeikeHeizmann-WST2014-Ex9_true-termination.c</t>
  </si>
  <si>
    <t>LeeJonesBen-Amram-POPL2001-Ex6_true-termination.c</t>
  </si>
  <si>
    <t>LeeJonesBen-Amram-POPL2001-Ex5_true-termination.c</t>
  </si>
  <si>
    <t>LeeJonesBen-Amram-POPL2001-Ex4_true-termination.c</t>
  </si>
  <si>
    <t>LeeJonesBen-Amram-POPL2001-Ex3_true-termination.c</t>
  </si>
  <si>
    <t>LeeJonesBen-Amram-POPL2001-Ex2_true-termination.c</t>
  </si>
  <si>
    <t>LeeJonesBen-Amram-POPL2001-Ex1_true-termination.c</t>
  </si>
  <si>
    <t>KroeningSharyginaTsitovichWintersteiger-CAV2010-Fig1_true-termination.c</t>
  </si>
  <si>
    <t>joey_false-termination.c</t>
  </si>
  <si>
    <t>HenzingerJhalaMajumdarSutre-POPL2002-LockingExample_false-termination.c</t>
  </si>
  <si>
    <t>HeizmannHoenickeLeikePodelski-ATVA2013-Fig7_true-termination.c</t>
  </si>
  <si>
    <t>HeizmannHoenickeLeikePodelski-ATVA2013-Fig5_true-termination.c</t>
  </si>
  <si>
    <t>HeizmannHoenickeLeikePodelski-ATVA2013-Fig2_true-termination.c</t>
  </si>
  <si>
    <t>HarrisLalNoriRajamani-SAS2010-Fig3_true-termination.c</t>
  </si>
  <si>
    <t>HarrisLalNoriRajamani-SAS2010-Fig2_false-termination.c</t>
  </si>
  <si>
    <t>HarrisLalNoriRajamani-SAS2010-Fig1_true-termination.c</t>
  </si>
  <si>
    <t>ChenFlurMukhopadhyay-SAS2012-Ex2.05_false-termination.c</t>
  </si>
  <si>
    <t>aviad_true-termination.c</t>
  </si>
  <si>
    <t>Ton_Chanh_15</t>
  </si>
  <si>
    <t>Singapore_v2_false-termination.c</t>
  </si>
  <si>
    <t>Singapore_v1_false-termination.c</t>
  </si>
  <si>
    <t>Singapore_true-termination.c</t>
  </si>
  <si>
    <t>Singapore_plus_false-termination.c</t>
  </si>
  <si>
    <t>NestedRecursion_2c_true-termination.c</t>
  </si>
  <si>
    <t>NestedRecursion_2b_false-termination.c</t>
  </si>
  <si>
    <t>NestedRecursion_2a_false-termination.c</t>
  </si>
  <si>
    <t>NestedRecursion_1d_true-termination.c</t>
  </si>
  <si>
    <t>NestedRecursion_1c_true-termination.c</t>
  </si>
  <si>
    <t>NestedRecursion_1b_true-termination.c</t>
  </si>
  <si>
    <t>NestedRecursion_1a_false-termination.c</t>
  </si>
  <si>
    <t>Mysore_false-termination.c</t>
  </si>
  <si>
    <t>MutualRecursion_1b_true-termination.c</t>
  </si>
  <si>
    <t>MutualRecursion_1a_false-termination.c</t>
  </si>
  <si>
    <t>McCarthy91_Recursion_true-termination.c</t>
  </si>
  <si>
    <t>McCarthy91_Iteration_true-termination.c</t>
  </si>
  <si>
    <t>Hanoi_plus_false-termination.c</t>
  </si>
  <si>
    <t>Hanoi_3vars_false-termination.c</t>
  </si>
  <si>
    <t>Hanoi_2vars_false-termination.c</t>
  </si>
  <si>
    <t>Gothenburg_v2_true-termination.c</t>
  </si>
  <si>
    <t>Copenhagen_disj_true-termination.c</t>
  </si>
  <si>
    <t>Cairo_step2_false-termination.c</t>
  </si>
  <si>
    <t>Cairo_nondet_false-termination.c</t>
  </si>
  <si>
    <t>Binary_Search_true-termination.c</t>
  </si>
  <si>
    <t>Benghazi_nondet_true-termination.c</t>
  </si>
  <si>
    <t>Bangalore_v4_true-termination.c</t>
  </si>
  <si>
    <t>Bangalore_v3_false-termination.c</t>
  </si>
  <si>
    <t>Bangalore_v2_false-termination.c</t>
  </si>
  <si>
    <t>Bangalore_false-termination.c</t>
  </si>
  <si>
    <t>Ackermann_true-termination.c</t>
  </si>
  <si>
    <t>Ackermann_false-termination.c</t>
  </si>
  <si>
    <t>2Nested_false-termination.c</t>
  </si>
  <si>
    <t>Ultimate</t>
  </si>
  <si>
    <t>SyntaxSupportPointer01_true-termination.c</t>
  </si>
  <si>
    <t>RecursiveNonterminating_false-termination.c</t>
  </si>
  <si>
    <t>RecursiveMultiplication_true-termination.c</t>
  </si>
  <si>
    <t>NonTermination3_false-termination.c</t>
  </si>
  <si>
    <t>LexIndexValue-Pointer_true-termination.c</t>
  </si>
  <si>
    <t>LexIndexValue-Array_true-termination.c</t>
  </si>
  <si>
    <t>Division_false-termination.c</t>
  </si>
  <si>
    <t>Collatz_unknown-termination.c</t>
  </si>
  <si>
    <t>Arrays03-ValueRestictsIndex_true-termination.c</t>
  </si>
  <si>
    <t>Arrays02-EquivalentConstantIndices_false-termination.c</t>
  </si>
  <si>
    <t>Arrays01-EquivalentConstantIndices_true-termination.c</t>
  </si>
  <si>
    <t>4BitCounterPointer_true-termination.c</t>
  </si>
  <si>
    <t>loop</t>
  </si>
  <si>
    <t>recursion</t>
  </si>
  <si>
    <t>llvm2KITTeL</t>
  </si>
  <si>
    <t>Tail Recursion</t>
  </si>
  <si>
    <t>Head Recursion</t>
  </si>
  <si>
    <t>Tail Recursion + Head Recursion</t>
  </si>
  <si>
    <t>?</t>
  </si>
  <si>
    <t>MuVal</t>
  </si>
  <si>
    <t>VBS</t>
  </si>
  <si>
    <t>YES</t>
  </si>
  <si>
    <t>MAYBE</t>
  </si>
  <si>
    <t>NO</t>
  </si>
  <si>
    <t>timeout</t>
  </si>
  <si>
    <t>error</t>
  </si>
  <si>
    <t>unknown</t>
  </si>
  <si>
    <t>wrong</t>
  </si>
  <si>
    <t>correct</t>
  </si>
  <si>
    <t>Athena</t>
  </si>
  <si>
    <t>TermCOMP</t>
  </si>
  <si>
    <t>Category</t>
  </si>
  <si>
    <t>W</t>
  </si>
  <si>
    <t>E</t>
  </si>
  <si>
    <t>T</t>
  </si>
  <si>
    <t>U</t>
  </si>
  <si>
    <t>UNKNOWN</t>
  </si>
  <si>
    <t>Tool</t>
  </si>
  <si>
    <t>UAutomizer</t>
  </si>
  <si>
    <t>Ptr2Arr</t>
  </si>
  <si>
    <t>TIMEOUT</t>
  </si>
  <si>
    <t>ERROR</t>
  </si>
  <si>
    <t>C</t>
  </si>
  <si>
    <t>Overflow/Underflow</t>
  </si>
  <si>
    <t>Bit Calculation + Overflow/Underflow</t>
  </si>
  <si>
    <t>Avg. Runtime</t>
  </si>
  <si>
    <t>Shi et al.</t>
  </si>
  <si>
    <r>
      <t>Signed_Overflow_Error_1_</t>
    </r>
    <r>
      <rPr>
        <b/>
        <sz val="15"/>
        <color rgb="FFC00000"/>
        <rFont val="Calibri (Body)"/>
      </rPr>
      <t>T</t>
    </r>
    <r>
      <rPr>
        <b/>
        <sz val="15"/>
        <rFont val="Calibri"/>
        <family val="2"/>
        <scheme val="minor"/>
      </rPr>
      <t>.c</t>
    </r>
  </si>
  <si>
    <r>
      <t>Incorrect_Cyclic_Invoking_3_NT.</t>
    </r>
    <r>
      <rPr>
        <b/>
        <sz val="15"/>
        <color rgb="FFC00000"/>
        <rFont val="Calibri (Body)"/>
      </rPr>
      <t>c</t>
    </r>
  </si>
  <si>
    <r>
      <t>Incorrect_Cyclic_Invoking_3_T.</t>
    </r>
    <r>
      <rPr>
        <b/>
        <sz val="15"/>
        <color rgb="FFC00000"/>
        <rFont val="Calibri (Body)"/>
      </rPr>
      <t>c</t>
    </r>
  </si>
  <si>
    <r>
      <t>Incorrect_Return_2_NT.</t>
    </r>
    <r>
      <rPr>
        <b/>
        <sz val="15"/>
        <color rgb="FFC00000"/>
        <rFont val="Calibri (Body)"/>
      </rPr>
      <t>c</t>
    </r>
  </si>
  <si>
    <r>
      <t>Miscalling_Inherited_Method_1_NT.</t>
    </r>
    <r>
      <rPr>
        <b/>
        <sz val="15"/>
        <color rgb="FFC00000"/>
        <rFont val="Calibri (Body)"/>
      </rPr>
      <t>c</t>
    </r>
  </si>
  <si>
    <r>
      <t>Miscalling_Inherited_Method_1_T.</t>
    </r>
    <r>
      <rPr>
        <b/>
        <sz val="15"/>
        <color rgb="FFC00000"/>
        <rFont val="Calibri (Body)"/>
      </rPr>
      <t>c</t>
    </r>
  </si>
  <si>
    <r>
      <t>Misusing_Method_Overloading_1_NT.</t>
    </r>
    <r>
      <rPr>
        <b/>
        <sz val="15"/>
        <color rgb="FFC00000"/>
        <rFont val="Calibri (Body)"/>
      </rPr>
      <t>c</t>
    </r>
  </si>
  <si>
    <r>
      <t>Misusing_Method_Overloading_1_T.</t>
    </r>
    <r>
      <rPr>
        <b/>
        <sz val="15"/>
        <color rgb="FFC00000"/>
        <rFont val="Calibri (Body)"/>
      </rPr>
      <t>c</t>
    </r>
  </si>
  <si>
    <r>
      <t>Misusing_Method_Overloading_2_NT.</t>
    </r>
    <r>
      <rPr>
        <b/>
        <sz val="15"/>
        <color rgb="FFC00000"/>
        <rFont val="Calibri (Body)"/>
      </rPr>
      <t>c</t>
    </r>
  </si>
  <si>
    <r>
      <t>Misusing_Method_Overloading_2_T.</t>
    </r>
    <r>
      <rPr>
        <b/>
        <sz val="15"/>
        <color rgb="FFC00000"/>
        <rFont val="Calibri (Body)"/>
      </rPr>
      <t>c</t>
    </r>
  </si>
  <si>
    <r>
      <t>Misusing_Method_Overloading_3_NT.</t>
    </r>
    <r>
      <rPr>
        <b/>
        <sz val="15"/>
        <color rgb="FFC00000"/>
        <rFont val="Calibri (Body)"/>
      </rPr>
      <t>c</t>
    </r>
  </si>
  <si>
    <r>
      <t>Misusing_Method_Overloading_3_T.</t>
    </r>
    <r>
      <rPr>
        <b/>
        <sz val="15"/>
        <color rgb="FFC00000"/>
        <rFont val="Calibri (Body)"/>
      </rPr>
      <t>c</t>
    </r>
  </si>
  <si>
    <r>
      <t>Misusing_Method_Overloading_4_NT.</t>
    </r>
    <r>
      <rPr>
        <b/>
        <sz val="15"/>
        <color rgb="FFC00000"/>
        <rFont val="Calibri (Body)"/>
      </rPr>
      <t>c</t>
    </r>
  </si>
  <si>
    <r>
      <t>Misusing_Method_Overloading_4_T.</t>
    </r>
    <r>
      <rPr>
        <b/>
        <sz val="15"/>
        <color rgb="FFC00000"/>
        <rFont val="Calibri (Body)"/>
      </rPr>
      <t>c</t>
    </r>
  </si>
  <si>
    <r>
      <t>Incorrect_Return_2_T.</t>
    </r>
    <r>
      <rPr>
        <b/>
        <sz val="15"/>
        <color rgb="FFC00000"/>
        <rFont val="Calibri (Body)"/>
      </rPr>
      <t>c</t>
    </r>
  </si>
  <si>
    <t>Pointer</t>
  </si>
  <si>
    <t>Pointer Manipulation</t>
  </si>
  <si>
    <t>Data Structure</t>
  </si>
  <si>
    <t>Total</t>
  </si>
  <si>
    <t>Integer Underflow/Overflow</t>
  </si>
  <si>
    <t>W+U+T+E</t>
  </si>
  <si>
    <t>Athena_BV</t>
  </si>
  <si>
    <t>Athena_MA</t>
  </si>
  <si>
    <t>OOM ERROR</t>
  </si>
  <si>
    <r>
      <t>Incorrect_Initialization_2_</t>
    </r>
    <r>
      <rPr>
        <b/>
        <sz val="15"/>
        <color rgb="FFC00000"/>
        <rFont val="Calibri (Body)"/>
      </rPr>
      <t>NT</t>
    </r>
    <r>
      <rPr>
        <b/>
        <sz val="15"/>
        <rFont val="Calibri"/>
        <family val="2"/>
        <scheme val="minor"/>
      </rPr>
      <t>.c</t>
    </r>
  </si>
  <si>
    <r>
      <t>Undefined_Behavior_3</t>
    </r>
    <r>
      <rPr>
        <b/>
        <sz val="15"/>
        <color rgb="FFC00000"/>
        <rFont val="Calibri (Body)"/>
      </rPr>
      <t>_T</t>
    </r>
    <r>
      <rPr>
        <b/>
        <sz val="15"/>
        <rFont val="Calibri"/>
        <family val="2"/>
        <scheme val="minor"/>
      </rPr>
      <t>.c</t>
    </r>
  </si>
  <si>
    <r>
      <t>Undefined_Behavior_2</t>
    </r>
    <r>
      <rPr>
        <b/>
        <sz val="15"/>
        <color rgb="FFC00000"/>
        <rFont val="Calibri (Body)"/>
      </rPr>
      <t>_T</t>
    </r>
    <r>
      <rPr>
        <b/>
        <sz val="15"/>
        <rFont val="Calibri"/>
        <family val="2"/>
        <scheme val="minor"/>
      </rPr>
      <t>.c</t>
    </r>
  </si>
  <si>
    <r>
      <t>Undefined_Behavior_1</t>
    </r>
    <r>
      <rPr>
        <b/>
        <sz val="15"/>
        <color rgb="FFC00000"/>
        <rFont val="Calibri (Body)"/>
      </rPr>
      <t>_T</t>
    </r>
    <r>
      <rPr>
        <b/>
        <sz val="15"/>
        <rFont val="Calibri"/>
        <family val="2"/>
        <scheme val="minor"/>
      </rPr>
      <t>.c</t>
    </r>
  </si>
  <si>
    <r>
      <t xml:space="preserve">Athena
</t>
    </r>
    <r>
      <rPr>
        <sz val="15"/>
        <color theme="6"/>
        <rFont val="Calibri (Body)"/>
      </rPr>
      <t>timout: 900s</t>
    </r>
    <r>
      <rPr>
        <b/>
        <sz val="15"/>
        <color theme="1"/>
        <rFont val="Calibri"/>
        <family val="2"/>
        <scheme val="minor"/>
      </rPr>
      <t xml:space="preserve">
</t>
    </r>
    <r>
      <rPr>
        <sz val="15"/>
        <color rgb="FFC00000"/>
        <rFont val="Calibri (Body)"/>
      </rPr>
      <t>semantic-augmentor-mode=none</t>
    </r>
    <r>
      <rPr>
        <sz val="15"/>
        <color theme="1"/>
        <rFont val="Calibri"/>
        <family val="2"/>
        <scheme val="minor"/>
      </rPr>
      <t xml:space="preserve">
</t>
    </r>
    <r>
      <rPr>
        <sz val="15"/>
        <color rgb="FF7030A0"/>
        <rFont val="Calibri (Body)"/>
      </rPr>
      <t>type-annotator-mode=none</t>
    </r>
    <r>
      <rPr>
        <sz val="15"/>
        <color theme="8"/>
        <rFont val="Calibri"/>
        <family val="2"/>
        <scheme val="minor"/>
      </rPr>
      <t xml:space="preserve">
</t>
    </r>
    <r>
      <rPr>
        <sz val="15"/>
        <color rgb="FF0070C0"/>
        <rFont val="Calibri (Body)"/>
      </rPr>
      <t>signedness-info=none</t>
    </r>
    <r>
      <rPr>
        <sz val="15"/>
        <color theme="1"/>
        <rFont val="Calibri"/>
        <family val="2"/>
        <scheme val="minor"/>
      </rPr>
      <t xml:space="preserve">
</t>
    </r>
    <r>
      <rPr>
        <sz val="15"/>
        <color rgb="FF00B050"/>
        <rFont val="Calibri (Body)"/>
      </rPr>
      <t>unreachable-exit=true</t>
    </r>
    <r>
      <rPr>
        <b/>
        <sz val="15"/>
        <color theme="1"/>
        <rFont val="Calibri"/>
        <family val="2"/>
        <scheme val="minor"/>
      </rPr>
      <t xml:space="preserve">
</t>
    </r>
    <r>
      <rPr>
        <sz val="15"/>
        <color rgb="FFFFC000"/>
        <rFont val="Calibri (Body)"/>
      </rPr>
      <t>muval-mode=TermCOMP</t>
    </r>
  </si>
  <si>
    <r>
      <t xml:space="preserve">Athena_BV
(Bitvector Mode)
</t>
    </r>
    <r>
      <rPr>
        <sz val="15"/>
        <color theme="6"/>
        <rFont val="Calibri (Body)"/>
      </rPr>
      <t>timout: 600s</t>
    </r>
    <r>
      <rPr>
        <b/>
        <sz val="15"/>
        <color theme="1"/>
        <rFont val="Calibri"/>
        <family val="2"/>
        <scheme val="minor"/>
      </rPr>
      <t xml:space="preserve">
</t>
    </r>
    <r>
      <rPr>
        <sz val="15"/>
        <color rgb="FFC00000"/>
        <rFont val="Calibri (Body)"/>
      </rPr>
      <t>semantic-augmentor-mode=none</t>
    </r>
    <r>
      <rPr>
        <sz val="15"/>
        <color theme="5"/>
        <rFont val="Calibri"/>
        <family val="2"/>
        <scheme val="minor"/>
      </rPr>
      <t xml:space="preserve">
</t>
    </r>
    <r>
      <rPr>
        <sz val="15"/>
        <color rgb="FF7030A0"/>
        <rFont val="Calibri (Body)"/>
      </rPr>
      <t>type-annotator-mode=all</t>
    </r>
    <r>
      <rPr>
        <sz val="15"/>
        <color theme="5"/>
        <rFont val="Calibri"/>
        <family val="2"/>
        <scheme val="minor"/>
      </rPr>
      <t xml:space="preserve">
</t>
    </r>
    <r>
      <rPr>
        <sz val="15"/>
        <color rgb="FF0070C0"/>
        <rFont val="Calibri (Body)"/>
      </rPr>
      <t>signedness-info=all</t>
    </r>
    <r>
      <rPr>
        <sz val="15"/>
        <color theme="5"/>
        <rFont val="Calibri"/>
        <family val="2"/>
        <scheme val="minor"/>
      </rPr>
      <t xml:space="preserve">
</t>
    </r>
    <r>
      <rPr>
        <sz val="15"/>
        <color rgb="FF00B050"/>
        <rFont val="Calibri (Body)"/>
      </rPr>
      <t xml:space="preserve">unreachable-exit=true
</t>
    </r>
    <r>
      <rPr>
        <sz val="15"/>
        <color rgb="FFFFC000"/>
        <rFont val="Calibri (Body)"/>
      </rPr>
      <t>muval-mode=FSE-BV</t>
    </r>
  </si>
  <si>
    <r>
      <t xml:space="preserve">Athena_MA
(Modulo Arithmetic Mode)
</t>
    </r>
    <r>
      <rPr>
        <sz val="15"/>
        <color theme="6"/>
        <rFont val="Calibri (Body)"/>
      </rPr>
      <t>timout: 300s</t>
    </r>
    <r>
      <rPr>
        <b/>
        <sz val="15"/>
        <color theme="1"/>
        <rFont val="Calibri"/>
        <family val="2"/>
        <scheme val="minor"/>
      </rPr>
      <t xml:space="preserve">
</t>
    </r>
    <r>
      <rPr>
        <sz val="15"/>
        <color rgb="FFC00000"/>
        <rFont val="Calibri (Body)"/>
      </rPr>
      <t>semantic-augmentor-mode=only-nobv</t>
    </r>
    <r>
      <rPr>
        <sz val="15"/>
        <color theme="5"/>
        <rFont val="Calibri (Body)"/>
      </rPr>
      <t xml:space="preserve">
</t>
    </r>
    <r>
      <rPr>
        <sz val="15"/>
        <color rgb="FF7030A0"/>
        <rFont val="Calibri (Body)"/>
      </rPr>
      <t>type-annotator-mode=only-bv</t>
    </r>
    <r>
      <rPr>
        <sz val="15"/>
        <color theme="5"/>
        <rFont val="Calibri (Body)"/>
      </rPr>
      <t xml:space="preserve">
</t>
    </r>
    <r>
      <rPr>
        <sz val="15"/>
        <color rgb="FF0070C0"/>
        <rFont val="Calibri (Body)"/>
      </rPr>
      <t>signedness-info=only-bv</t>
    </r>
    <r>
      <rPr>
        <sz val="15"/>
        <color theme="5"/>
        <rFont val="Calibri (Body)"/>
      </rPr>
      <t xml:space="preserve">
</t>
    </r>
    <r>
      <rPr>
        <sz val="15"/>
        <color rgb="FF00B050"/>
        <rFont val="Calibri (Body)"/>
      </rPr>
      <t>unreachable-exit=true</t>
    </r>
    <r>
      <rPr>
        <b/>
        <sz val="15"/>
        <color theme="1"/>
        <rFont val="Calibri"/>
        <family val="2"/>
        <scheme val="minor"/>
      </rPr>
      <t xml:space="preserve">
</t>
    </r>
    <r>
      <rPr>
        <sz val="15"/>
        <color rgb="FFFFC000"/>
        <rFont val="Calibri (Body)"/>
      </rPr>
      <t>muval-mode=FSE-MI</t>
    </r>
  </si>
  <si>
    <t>abort</t>
  </si>
  <si>
    <t>yes</t>
  </si>
  <si>
    <t>no</t>
  </si>
  <si>
    <r>
      <t xml:space="preserve">CPAchecker: Underflow/Overflow?
</t>
    </r>
    <r>
      <rPr>
        <sz val="15"/>
        <color theme="6"/>
        <rFont val="Calibri (Body)"/>
      </rPr>
      <t>timout: 30s</t>
    </r>
  </si>
  <si>
    <r>
      <t xml:space="preserve">Athena_MI
(Mathematical Integer Mode)
</t>
    </r>
    <r>
      <rPr>
        <sz val="15"/>
        <color theme="6"/>
        <rFont val="Calibri (Body)"/>
      </rPr>
      <t>timout: 270s</t>
    </r>
    <r>
      <rPr>
        <b/>
        <sz val="15"/>
        <color theme="1"/>
        <rFont val="Calibri"/>
        <family val="2"/>
        <scheme val="minor"/>
      </rPr>
      <t xml:space="preserve">
</t>
    </r>
    <r>
      <rPr>
        <sz val="15"/>
        <color rgb="FFC00000"/>
        <rFont val="Calibri (Body)"/>
      </rPr>
      <t>semantic-augmentor-mode=none</t>
    </r>
    <r>
      <rPr>
        <sz val="15"/>
        <color theme="0" tint="-0.499984740745262"/>
        <rFont val="Calibri"/>
        <family val="2"/>
        <scheme val="minor"/>
      </rPr>
      <t xml:space="preserve">
</t>
    </r>
    <r>
      <rPr>
        <sz val="15"/>
        <color rgb="FF7030A0"/>
        <rFont val="Calibri"/>
        <family val="2"/>
        <scheme val="minor"/>
      </rPr>
      <t>t</t>
    </r>
    <r>
      <rPr>
        <sz val="15"/>
        <color rgb="FF7030A0"/>
        <rFont val="Calibri (Body)"/>
      </rPr>
      <t>ype-annotator-mode=all</t>
    </r>
    <r>
      <rPr>
        <sz val="15"/>
        <color theme="8"/>
        <rFont val="Calibri"/>
        <family val="2"/>
        <scheme val="minor"/>
      </rPr>
      <t xml:space="preserve">
</t>
    </r>
    <r>
      <rPr>
        <sz val="15"/>
        <color rgb="FF0070C0"/>
        <rFont val="Calibri (Body)"/>
      </rPr>
      <t>signedness-info=all</t>
    </r>
    <r>
      <rPr>
        <sz val="15"/>
        <color theme="0" tint="-0.499984740745262"/>
        <rFont val="Calibri"/>
        <family val="2"/>
        <scheme val="minor"/>
      </rPr>
      <t xml:space="preserve">
</t>
    </r>
    <r>
      <rPr>
        <sz val="15"/>
        <color rgb="FF00B050"/>
        <rFont val="Calibri (Body)"/>
      </rPr>
      <t xml:space="preserve">unreachable-exit=true
</t>
    </r>
    <r>
      <rPr>
        <sz val="15"/>
        <color rgb="FFFFC000"/>
        <rFont val="Calibri (Body)"/>
      </rPr>
      <t>muval-mode=FSE-MI</t>
    </r>
  </si>
  <si>
    <r>
      <t xml:space="preserve">Athena
(Athena_BV + [Athena_MA + Athema_MI + CPAchecker])
</t>
    </r>
    <r>
      <rPr>
        <sz val="15"/>
        <color theme="6"/>
        <rFont val="Calibri (Body)"/>
      </rPr>
      <t>timout: 1200s</t>
    </r>
  </si>
  <si>
    <r>
      <t xml:space="preserve">Athena_MA
+
Athena_MI &amp; CPAchecker
</t>
    </r>
    <r>
      <rPr>
        <sz val="15"/>
        <color theme="6"/>
        <rFont val="Calibri (Body)"/>
      </rPr>
      <t>timout: 600s</t>
    </r>
  </si>
  <si>
    <t>PROTON</t>
  </si>
  <si>
    <t>INCONCLUSIVE</t>
  </si>
  <si>
    <t>INTERNAL-ERROR</t>
  </si>
  <si>
    <t>Proton</t>
  </si>
  <si>
    <t>Prototn</t>
  </si>
  <si>
    <t>unsafe</t>
  </si>
  <si>
    <t>Features (#safe/#unsafe)</t>
  </si>
  <si>
    <t>Matric</t>
  </si>
  <si>
    <t>Features (#instances)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</si>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</sst>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theme="0" tint="-0.499984740745262"/>
      <name val="Calibri"/>
      <family val="2"/>
      <scheme val="minor"/>
    </font>
    <font>
      <sz val="15"/>
      <color theme="5"/>
      <name val="Calibri"/>
      <family val="2"/>
      <scheme val="minor"/>
    </font>
    <font>
      <sz val="15"/>
      <color theme="8"/>
      <name val="Calibri"/>
      <family val="2"/>
      <scheme val="minor"/>
    </font>
    <font>
      <sz val="15"/>
      <color rgb="FF000000"/>
      <name val="Calibri"/>
      <family val="2"/>
      <scheme val="minor"/>
    </font>
    <font>
      <sz val="15"/>
      <color theme="6"/>
      <name val="Calibri (Body)"/>
    </font>
    <font>
      <sz val="15"/>
      <color theme="5"/>
      <name val="Calibri (Body)"/>
    </font>
    <font>
      <b/>
      <sz val="15"/>
      <color rgb="FFC00000"/>
      <name val="Calibri (Body)"/>
    </font>
    <font>
      <sz val="15"/>
      <name val="Calibri"/>
      <family val="2"/>
      <scheme val="minor"/>
    </font>
    <font>
      <sz val="15"/>
      <color rgb="FFC00000"/>
      <name val="Calibri"/>
      <family val="2"/>
      <scheme val="minor"/>
    </font>
    <font>
      <sz val="15"/>
      <color rgb="FFC00000"/>
      <name val="Calibri (Body)"/>
    </font>
    <font>
      <sz val="15"/>
      <color rgb="FF7030A0"/>
      <name val="Calibri (Body)"/>
    </font>
    <font>
      <sz val="15"/>
      <color rgb="FF0070C0"/>
      <name val="Calibri (Body)"/>
    </font>
    <font>
      <sz val="15"/>
      <color rgb="FF00B050"/>
      <name val="Calibri (Body)"/>
    </font>
    <font>
      <sz val="15"/>
      <color rgb="FF7030A0"/>
      <name val="Calibri"/>
      <family val="2"/>
      <scheme val="minor"/>
    </font>
    <font>
      <sz val="15"/>
      <color rgb="FFFFC000"/>
      <name val="Calibri (Body)"/>
    </font>
    <font>
      <sz val="15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5"/>
      <color rgb="FF0070C0"/>
      <name val="Calibri"/>
      <family val="2"/>
      <scheme val="minor"/>
    </font>
    <font>
      <sz val="15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5" xfId="0" applyFont="1" applyBorder="1"/>
    <xf numFmtId="0" fontId="1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/>
    </xf>
    <xf numFmtId="10" fontId="1" fillId="0" borderId="3" xfId="0" applyNumberFormat="1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0" fontId="9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1" fontId="1" fillId="0" borderId="2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10" fontId="1" fillId="0" borderId="13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0" borderId="9" xfId="0" applyBorder="1"/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center" vertical="center"/>
    </xf>
    <xf numFmtId="10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0" fontId="2" fillId="0" borderId="11" xfId="0" applyNumberFormat="1" applyFont="1" applyBorder="1" applyAlignment="1">
      <alignment horizontal="center" vertical="center"/>
    </xf>
    <xf numFmtId="1" fontId="1" fillId="5" borderId="12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 textRotation="90"/>
    </xf>
    <xf numFmtId="0" fontId="2" fillId="0" borderId="5" xfId="0" applyFont="1" applyBorder="1" applyAlignment="1">
      <alignment horizontal="center" vertical="top" textRotation="90"/>
    </xf>
    <xf numFmtId="0" fontId="2" fillId="0" borderId="6" xfId="0" applyFont="1" applyBorder="1" applyAlignment="1">
      <alignment horizontal="center" vertical="top" textRotation="90"/>
    </xf>
    <xf numFmtId="0" fontId="5" fillId="0" borderId="5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TermCOMP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Charts!$B$3:$C$37</c:f>
              <c:multiLvlStrCache>
                <c:ptCount val="35"/>
                <c:lvl>
                  <c:pt idx="0">
                    <c:v>correct</c:v>
                  </c:pt>
                  <c:pt idx="1">
                    <c:v>wrong</c:v>
                  </c:pt>
                  <c:pt idx="2">
                    <c:v>unknown</c:v>
                  </c:pt>
                  <c:pt idx="3">
                    <c:v>timeout</c:v>
                  </c:pt>
                  <c:pt idx="4">
                    <c:v>error</c:v>
                  </c:pt>
                  <c:pt idx="5">
                    <c:v>correct</c:v>
                  </c:pt>
                  <c:pt idx="6">
                    <c:v>wrong</c:v>
                  </c:pt>
                  <c:pt idx="7">
                    <c:v>unknown</c:v>
                  </c:pt>
                  <c:pt idx="8">
                    <c:v>timeout</c:v>
                  </c:pt>
                  <c:pt idx="9">
                    <c:v>error</c:v>
                  </c:pt>
                  <c:pt idx="10">
                    <c:v>correct</c:v>
                  </c:pt>
                  <c:pt idx="11">
                    <c:v>wrong</c:v>
                  </c:pt>
                  <c:pt idx="12">
                    <c:v>unknown</c:v>
                  </c:pt>
                  <c:pt idx="13">
                    <c:v>timeout</c:v>
                  </c:pt>
                  <c:pt idx="14">
                    <c:v>error</c:v>
                  </c:pt>
                  <c:pt idx="15">
                    <c:v>correct</c:v>
                  </c:pt>
                  <c:pt idx="16">
                    <c:v>wrong</c:v>
                  </c:pt>
                  <c:pt idx="17">
                    <c:v>unknown</c:v>
                  </c:pt>
                  <c:pt idx="18">
                    <c:v>timeout</c:v>
                  </c:pt>
                  <c:pt idx="19">
                    <c:v>error</c:v>
                  </c:pt>
                  <c:pt idx="20">
                    <c:v>correct</c:v>
                  </c:pt>
                  <c:pt idx="21">
                    <c:v>wrong</c:v>
                  </c:pt>
                  <c:pt idx="22">
                    <c:v>unknown</c:v>
                  </c:pt>
                  <c:pt idx="23">
                    <c:v>timeout</c:v>
                  </c:pt>
                  <c:pt idx="24">
                    <c:v>error</c:v>
                  </c:pt>
                  <c:pt idx="25">
                    <c:v>correct</c:v>
                  </c:pt>
                  <c:pt idx="26">
                    <c:v>wrong</c:v>
                  </c:pt>
                  <c:pt idx="27">
                    <c:v>unknown</c:v>
                  </c:pt>
                  <c:pt idx="28">
                    <c:v>timeout</c:v>
                  </c:pt>
                  <c:pt idx="29">
                    <c:v>error</c:v>
                  </c:pt>
                  <c:pt idx="30">
                    <c:v>correct</c:v>
                  </c:pt>
                  <c:pt idx="31">
                    <c:v>wrong</c:v>
                  </c:pt>
                  <c:pt idx="32">
                    <c:v>unknown</c:v>
                  </c:pt>
                  <c:pt idx="33">
                    <c:v>timeout</c:v>
                  </c:pt>
                  <c:pt idx="34">
                    <c:v>error</c:v>
                  </c:pt>
                </c:lvl>
                <c:lvl>
                  <c:pt idx="0">
                    <c:v>Athena</c:v>
                  </c:pt>
                  <c:pt idx="5">
                    <c:v>Proton</c:v>
                  </c:pt>
                  <c:pt idx="10">
                    <c:v>AProVE</c:v>
                  </c:pt>
                  <c:pt idx="15">
                    <c:v>UAutomizer</c:v>
                  </c:pt>
                  <c:pt idx="20">
                    <c:v>CPAchecker</c:v>
                  </c:pt>
                  <c:pt idx="25">
                    <c:v>2LS</c:v>
                  </c:pt>
                  <c:pt idx="30">
                    <c:v>MuVal</c:v>
                  </c:pt>
                </c:lvl>
              </c:multiLvlStrCache>
            </c:multiLvlStrRef>
          </c:cat>
          <c:val>
            <c:numRef>
              <c:f>Charts!$D$3:$D$37</c:f>
              <c:numCache>
                <c:formatCode>0.00%</c:formatCode>
                <c:ptCount val="35"/>
                <c:pt idx="0">
                  <c:v>0.76279650436953805</c:v>
                </c:pt>
                <c:pt idx="1">
                  <c:v>0</c:v>
                </c:pt>
                <c:pt idx="2">
                  <c:v>0.12234706616729088</c:v>
                </c:pt>
                <c:pt idx="3">
                  <c:v>0.10986267166042447</c:v>
                </c:pt>
                <c:pt idx="4">
                  <c:v>4.9937578027465668E-3</c:v>
                </c:pt>
                <c:pt idx="5">
                  <c:v>0.75905118601747812</c:v>
                </c:pt>
                <c:pt idx="6">
                  <c:v>7.365792759051186E-2</c:v>
                </c:pt>
                <c:pt idx="7">
                  <c:v>0.16479400749063669</c:v>
                </c:pt>
                <c:pt idx="8">
                  <c:v>0</c:v>
                </c:pt>
                <c:pt idx="9">
                  <c:v>1.2484394506866417E-3</c:v>
                </c:pt>
                <c:pt idx="10">
                  <c:v>0.72908863920099876</c:v>
                </c:pt>
                <c:pt idx="11">
                  <c:v>0</c:v>
                </c:pt>
                <c:pt idx="12">
                  <c:v>0.10486891385767791</c:v>
                </c:pt>
                <c:pt idx="13">
                  <c:v>8.4893882646691635E-2</c:v>
                </c:pt>
                <c:pt idx="14">
                  <c:v>8.1148564294631714E-2</c:v>
                </c:pt>
                <c:pt idx="15">
                  <c:v>0.7865168539325843</c:v>
                </c:pt>
                <c:pt idx="16">
                  <c:v>0</c:v>
                </c:pt>
                <c:pt idx="17">
                  <c:v>0.18476903870162298</c:v>
                </c:pt>
                <c:pt idx="18">
                  <c:v>0</c:v>
                </c:pt>
                <c:pt idx="19">
                  <c:v>2.871410736579276E-2</c:v>
                </c:pt>
                <c:pt idx="20">
                  <c:v>0.31210986267166041</c:v>
                </c:pt>
                <c:pt idx="21">
                  <c:v>3.7453183520599251E-3</c:v>
                </c:pt>
                <c:pt idx="22">
                  <c:v>0.56928838951310856</c:v>
                </c:pt>
                <c:pt idx="23">
                  <c:v>2.871410736579276E-2</c:v>
                </c:pt>
                <c:pt idx="24">
                  <c:v>8.6142322097378279E-2</c:v>
                </c:pt>
                <c:pt idx="25">
                  <c:v>0.32709113607990015</c:v>
                </c:pt>
                <c:pt idx="26">
                  <c:v>1.9975031210986267E-2</c:v>
                </c:pt>
                <c:pt idx="27">
                  <c:v>0.4394506866416979</c:v>
                </c:pt>
                <c:pt idx="28">
                  <c:v>1.2484394506866416E-2</c:v>
                </c:pt>
                <c:pt idx="29">
                  <c:v>0.2009987515605493</c:v>
                </c:pt>
                <c:pt idx="30">
                  <c:v>0.65667915106117358</c:v>
                </c:pt>
                <c:pt idx="31">
                  <c:v>0.16853932584269662</c:v>
                </c:pt>
                <c:pt idx="32">
                  <c:v>0</c:v>
                </c:pt>
                <c:pt idx="33">
                  <c:v>4.9937578027465665E-2</c:v>
                </c:pt>
                <c:pt idx="34">
                  <c:v>0.12484394506866417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B-4E4D-B038-609BFF3B7D64}"/>
            </c:ext>
          </c:extLst>
        </c:ser>
        <c:ser>
          <c:idx val="1"/>
          <c:order val="1"/>
          <c:tx>
            <c:v>Shi et al.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Charts!$B$3:$C$37</c:f>
              <c:multiLvlStrCache>
                <c:ptCount val="35"/>
                <c:lvl>
                  <c:pt idx="0">
                    <c:v>correct</c:v>
                  </c:pt>
                  <c:pt idx="1">
                    <c:v>wrong</c:v>
                  </c:pt>
                  <c:pt idx="2">
                    <c:v>unknown</c:v>
                  </c:pt>
                  <c:pt idx="3">
                    <c:v>timeout</c:v>
                  </c:pt>
                  <c:pt idx="4">
                    <c:v>error</c:v>
                  </c:pt>
                  <c:pt idx="5">
                    <c:v>correct</c:v>
                  </c:pt>
                  <c:pt idx="6">
                    <c:v>wrong</c:v>
                  </c:pt>
                  <c:pt idx="7">
                    <c:v>unknown</c:v>
                  </c:pt>
                  <c:pt idx="8">
                    <c:v>timeout</c:v>
                  </c:pt>
                  <c:pt idx="9">
                    <c:v>error</c:v>
                  </c:pt>
                  <c:pt idx="10">
                    <c:v>correct</c:v>
                  </c:pt>
                  <c:pt idx="11">
                    <c:v>wrong</c:v>
                  </c:pt>
                  <c:pt idx="12">
                    <c:v>unknown</c:v>
                  </c:pt>
                  <c:pt idx="13">
                    <c:v>timeout</c:v>
                  </c:pt>
                  <c:pt idx="14">
                    <c:v>error</c:v>
                  </c:pt>
                  <c:pt idx="15">
                    <c:v>correct</c:v>
                  </c:pt>
                  <c:pt idx="16">
                    <c:v>wrong</c:v>
                  </c:pt>
                  <c:pt idx="17">
                    <c:v>unknown</c:v>
                  </c:pt>
                  <c:pt idx="18">
                    <c:v>timeout</c:v>
                  </c:pt>
                  <c:pt idx="19">
                    <c:v>error</c:v>
                  </c:pt>
                  <c:pt idx="20">
                    <c:v>correct</c:v>
                  </c:pt>
                  <c:pt idx="21">
                    <c:v>wrong</c:v>
                  </c:pt>
                  <c:pt idx="22">
                    <c:v>unknown</c:v>
                  </c:pt>
                  <c:pt idx="23">
                    <c:v>timeout</c:v>
                  </c:pt>
                  <c:pt idx="24">
                    <c:v>error</c:v>
                  </c:pt>
                  <c:pt idx="25">
                    <c:v>correct</c:v>
                  </c:pt>
                  <c:pt idx="26">
                    <c:v>wrong</c:v>
                  </c:pt>
                  <c:pt idx="27">
                    <c:v>unknown</c:v>
                  </c:pt>
                  <c:pt idx="28">
                    <c:v>timeout</c:v>
                  </c:pt>
                  <c:pt idx="29">
                    <c:v>error</c:v>
                  </c:pt>
                  <c:pt idx="30">
                    <c:v>correct</c:v>
                  </c:pt>
                  <c:pt idx="31">
                    <c:v>wrong</c:v>
                  </c:pt>
                  <c:pt idx="32">
                    <c:v>unknown</c:v>
                  </c:pt>
                  <c:pt idx="33">
                    <c:v>timeout</c:v>
                  </c:pt>
                  <c:pt idx="34">
                    <c:v>error</c:v>
                  </c:pt>
                </c:lvl>
                <c:lvl>
                  <c:pt idx="0">
                    <c:v>Athena</c:v>
                  </c:pt>
                  <c:pt idx="5">
                    <c:v>Proton</c:v>
                  </c:pt>
                  <c:pt idx="10">
                    <c:v>AProVE</c:v>
                  </c:pt>
                  <c:pt idx="15">
                    <c:v>UAutomizer</c:v>
                  </c:pt>
                  <c:pt idx="20">
                    <c:v>CPAchecker</c:v>
                  </c:pt>
                  <c:pt idx="25">
                    <c:v>2LS</c:v>
                  </c:pt>
                  <c:pt idx="30">
                    <c:v>MuVal</c:v>
                  </c:pt>
                </c:lvl>
              </c:multiLvlStrCache>
            </c:multiLvlStrRef>
          </c:cat>
          <c:val>
            <c:numRef>
              <c:f>Charts!$E$3:$E$37</c:f>
              <c:numCache>
                <c:formatCode>0.00%</c:formatCode>
                <c:ptCount val="35"/>
                <c:pt idx="0">
                  <c:v>0.60952380952380958</c:v>
                </c:pt>
                <c:pt idx="1">
                  <c:v>0</c:v>
                </c:pt>
                <c:pt idx="2">
                  <c:v>0.22857142857142856</c:v>
                </c:pt>
                <c:pt idx="3">
                  <c:v>0.16190476190476191</c:v>
                </c:pt>
                <c:pt idx="4">
                  <c:v>0</c:v>
                </c:pt>
                <c:pt idx="5">
                  <c:v>0.66666666666666663</c:v>
                </c:pt>
                <c:pt idx="6">
                  <c:v>8.5714285714285715E-2</c:v>
                </c:pt>
                <c:pt idx="7">
                  <c:v>0.24761904761904763</c:v>
                </c:pt>
                <c:pt idx="8">
                  <c:v>0</c:v>
                </c:pt>
                <c:pt idx="9">
                  <c:v>0</c:v>
                </c:pt>
                <c:pt idx="10">
                  <c:v>0.35238095238095241</c:v>
                </c:pt>
                <c:pt idx="11">
                  <c:v>2.8571428571428571E-2</c:v>
                </c:pt>
                <c:pt idx="12">
                  <c:v>0.54285714285714282</c:v>
                </c:pt>
                <c:pt idx="13">
                  <c:v>6.6666666666666666E-2</c:v>
                </c:pt>
                <c:pt idx="14">
                  <c:v>9.5238095238095247E-3</c:v>
                </c:pt>
                <c:pt idx="15">
                  <c:v>0.43809523809523809</c:v>
                </c:pt>
                <c:pt idx="16">
                  <c:v>0</c:v>
                </c:pt>
                <c:pt idx="17">
                  <c:v>0.35238095238095241</c:v>
                </c:pt>
                <c:pt idx="18">
                  <c:v>0.14285714285714285</c:v>
                </c:pt>
                <c:pt idx="19">
                  <c:v>6.6666666666666666E-2</c:v>
                </c:pt>
                <c:pt idx="20">
                  <c:v>0.12380952380952381</c:v>
                </c:pt>
                <c:pt idx="21">
                  <c:v>3.8095238095238099E-2</c:v>
                </c:pt>
                <c:pt idx="22">
                  <c:v>0.49523809523809526</c:v>
                </c:pt>
                <c:pt idx="23">
                  <c:v>3.8095238095238099E-2</c:v>
                </c:pt>
                <c:pt idx="24">
                  <c:v>0.30476190476190479</c:v>
                </c:pt>
                <c:pt idx="25">
                  <c:v>0.22857142857142856</c:v>
                </c:pt>
                <c:pt idx="26">
                  <c:v>1.9047619047619049E-2</c:v>
                </c:pt>
                <c:pt idx="27">
                  <c:v>0.55238095238095242</c:v>
                </c:pt>
                <c:pt idx="28">
                  <c:v>0</c:v>
                </c:pt>
                <c:pt idx="29">
                  <c:v>0.2</c:v>
                </c:pt>
                <c:pt idx="30">
                  <c:v>0.60952380952380958</c:v>
                </c:pt>
                <c:pt idx="31">
                  <c:v>0.21904761904761905</c:v>
                </c:pt>
                <c:pt idx="32">
                  <c:v>0</c:v>
                </c:pt>
                <c:pt idx="33">
                  <c:v>5.7142857142857141E-2</c:v>
                </c:pt>
                <c:pt idx="34">
                  <c:v>0.11428571428571428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B-4E4D-B038-609BFF3B7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67900480"/>
        <c:axId val="1767904320"/>
      </c:barChart>
      <c:catAx>
        <c:axId val="17679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42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04320"/>
        <c:crosses val="autoZero"/>
        <c:auto val="1"/>
        <c:lblAlgn val="ctr"/>
        <c:lblOffset val="100"/>
        <c:noMultiLvlLbl val="0"/>
      </c:catAx>
      <c:valAx>
        <c:axId val="17679043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2119232028133686"/>
          <c:y val="3.6996998396708461E-2"/>
          <c:w val="0.15661023277378963"/>
          <c:h val="6.91352642549749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1-47F9-9A9D-D3536D4F33C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241-47F9-9A9D-D3536D4F33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41-47F9-9A9D-D3536D4F33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41-47F9-9A9D-D3536D4F33C5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1-47F9-9A9D-D3536D4F33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241-47F9-9A9D-D3536D4F33C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241-47F9-9A9D-D3536D4F33C5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41-47F9-9A9D-D3536D4F33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1-47F9-9A9D-D3536D4F33C5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241-47F9-9A9D-D3536D4F33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41-47F9-9A9D-D3536D4F33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Charts!$R$3:$S$20</c:f>
              <c:multiLvlStrCache>
                <c:ptCount val="18"/>
                <c:lvl>
                  <c:pt idx="0">
                    <c:v>correct</c:v>
                  </c:pt>
                  <c:pt idx="1">
                    <c:v>wrong</c:v>
                  </c:pt>
                  <c:pt idx="2">
                    <c:v>unknown</c:v>
                  </c:pt>
                  <c:pt idx="3">
                    <c:v>timeout</c:v>
                  </c:pt>
                  <c:pt idx="4">
                    <c:v>abort</c:v>
                  </c:pt>
                  <c:pt idx="5">
                    <c:v>error</c:v>
                  </c:pt>
                  <c:pt idx="6">
                    <c:v>correct</c:v>
                  </c:pt>
                  <c:pt idx="7">
                    <c:v>wrong</c:v>
                  </c:pt>
                  <c:pt idx="8">
                    <c:v>unknown</c:v>
                  </c:pt>
                  <c:pt idx="9">
                    <c:v>timeout</c:v>
                  </c:pt>
                  <c:pt idx="10">
                    <c:v>abort</c:v>
                  </c:pt>
                  <c:pt idx="11">
                    <c:v>error</c:v>
                  </c:pt>
                  <c:pt idx="12">
                    <c:v>correct</c:v>
                  </c:pt>
                  <c:pt idx="13">
                    <c:v>wrong</c:v>
                  </c:pt>
                  <c:pt idx="14">
                    <c:v>unknown</c:v>
                  </c:pt>
                  <c:pt idx="15">
                    <c:v>timeout</c:v>
                  </c:pt>
                  <c:pt idx="16">
                    <c:v>abort</c:v>
                  </c:pt>
                  <c:pt idx="17">
                    <c:v>error</c:v>
                  </c:pt>
                </c:lvl>
                <c:lvl>
                  <c:pt idx="0">
                    <c:v>Athena_BV</c:v>
                  </c:pt>
                  <c:pt idx="6">
                    <c:v>Athena_MA</c:v>
                  </c:pt>
                  <c:pt idx="12">
                    <c:v>Athena</c:v>
                  </c:pt>
                </c:lvl>
              </c:multiLvlStrCache>
            </c:multiLvlStrRef>
          </c:cat>
          <c:val>
            <c:numRef>
              <c:f>Charts!$T$3:$T$20</c:f>
              <c:numCache>
                <c:formatCode>0.00%</c:formatCode>
                <c:ptCount val="18"/>
                <c:pt idx="0">
                  <c:v>0.55238095238095242</c:v>
                </c:pt>
                <c:pt idx="1">
                  <c:v>0</c:v>
                </c:pt>
                <c:pt idx="2">
                  <c:v>0.22857142857142856</c:v>
                </c:pt>
                <c:pt idx="3">
                  <c:v>0.21904761904761905</c:v>
                </c:pt>
                <c:pt idx="4">
                  <c:v>0</c:v>
                </c:pt>
                <c:pt idx="5">
                  <c:v>0</c:v>
                </c:pt>
                <c:pt idx="6">
                  <c:v>0.44761904761904764</c:v>
                </c:pt>
                <c:pt idx="7">
                  <c:v>0</c:v>
                </c:pt>
                <c:pt idx="8">
                  <c:v>0.22857142857142856</c:v>
                </c:pt>
                <c:pt idx="9">
                  <c:v>0.23809523809523808</c:v>
                </c:pt>
                <c:pt idx="10">
                  <c:v>7.6190476190476197E-2</c:v>
                </c:pt>
                <c:pt idx="11">
                  <c:v>9.5238095238095247E-3</c:v>
                </c:pt>
                <c:pt idx="12">
                  <c:v>0.60952380952380958</c:v>
                </c:pt>
                <c:pt idx="13">
                  <c:v>0</c:v>
                </c:pt>
                <c:pt idx="14">
                  <c:v>0.22857142857142856</c:v>
                </c:pt>
                <c:pt idx="15">
                  <c:v>0.16190476190476191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1-47F9-9A9D-D3536D4F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95604320"/>
        <c:axId val="1395604800"/>
      </c:barChart>
      <c:catAx>
        <c:axId val="13956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04800"/>
        <c:crosses val="autoZero"/>
        <c:auto val="1"/>
        <c:lblAlgn val="ctr"/>
        <c:lblOffset val="100"/>
        <c:noMultiLvlLbl val="0"/>
      </c:catAx>
      <c:valAx>
        <c:axId val="13956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1359</xdr:colOff>
      <xdr:row>2</xdr:row>
      <xdr:rowOff>0</xdr:rowOff>
    </xdr:from>
    <xdr:to>
      <xdr:col>16</xdr:col>
      <xdr:colOff>0</xdr:colOff>
      <xdr:row>17</xdr:row>
      <xdr:rowOff>4082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18B28F-3590-2447-FCDE-39B2CF3AF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4761</xdr:colOff>
      <xdr:row>1</xdr:row>
      <xdr:rowOff>1</xdr:rowOff>
    </xdr:from>
    <xdr:to>
      <xdr:col>26</xdr:col>
      <xdr:colOff>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35AAC-BFCF-E3E7-9807-A92B4BF32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0277-24D3-9D40-BA3E-72993CA8380F}">
  <dimension ref="A1:AG829"/>
  <sheetViews>
    <sheetView tabSelected="1" zoomScale="80" zoomScaleNormal="80" workbookViewId="0"/>
  </sheetViews>
  <sheetFormatPr baseColWidth="10" defaultColWidth="11" defaultRowHeight="20" x14ac:dyDescent="0.2"/>
  <cols>
    <col min="1" max="1" width="5.83203125" style="24" customWidth="1"/>
    <col min="2" max="2" width="90.83203125" style="31" customWidth="1"/>
    <col min="3" max="3" width="15.83203125" style="63" customWidth="1"/>
    <col min="4" max="4" width="15.83203125" style="2" customWidth="1"/>
    <col min="5" max="5" width="15.83203125" style="5" customWidth="1"/>
    <col min="6" max="6" width="15.83203125" customWidth="1"/>
    <col min="7" max="7" width="15.83203125" style="42" customWidth="1"/>
    <col min="8" max="8" width="15.83203125" customWidth="1"/>
    <col min="9" max="9" width="15.83203125" style="42" customWidth="1"/>
    <col min="10" max="10" width="15.83203125" customWidth="1"/>
    <col min="11" max="11" width="15.83203125" style="25" customWidth="1"/>
    <col min="12" max="12" width="15.83203125" style="10" customWidth="1"/>
    <col min="13" max="13" width="15.83203125" style="25" customWidth="1"/>
    <col min="14" max="14" width="15.83203125" style="1" customWidth="1"/>
    <col min="15" max="15" width="15.83203125" style="25" customWidth="1"/>
    <col min="16" max="16" width="15.83203125" style="1" customWidth="1"/>
    <col min="17" max="17" width="15.83203125" style="25" customWidth="1"/>
    <col min="18" max="18" width="40.83203125" style="18" customWidth="1"/>
    <col min="19" max="19" width="15.83203125" style="2" customWidth="1"/>
    <col min="20" max="20" width="15.83203125" customWidth="1"/>
  </cols>
  <sheetData>
    <row r="1" spans="1:20" s="39" customFormat="1" ht="180" customHeight="1" thickBot="1" x14ac:dyDescent="0.25">
      <c r="A1" s="17"/>
      <c r="B1" s="15" t="s">
        <v>100</v>
      </c>
      <c r="C1" s="15" t="s">
        <v>817</v>
      </c>
      <c r="D1" s="100" t="s">
        <v>872</v>
      </c>
      <c r="E1" s="101"/>
      <c r="F1" s="106" t="s">
        <v>882</v>
      </c>
      <c r="G1" s="101"/>
      <c r="H1" s="106" t="s">
        <v>633</v>
      </c>
      <c r="I1" s="101"/>
      <c r="J1" s="109" t="s">
        <v>835</v>
      </c>
      <c r="K1" s="101"/>
      <c r="L1" s="109" t="s">
        <v>631</v>
      </c>
      <c r="M1" s="101"/>
      <c r="N1" s="107" t="s">
        <v>632</v>
      </c>
      <c r="O1" s="108"/>
      <c r="P1" s="107" t="s">
        <v>816</v>
      </c>
      <c r="Q1" s="108"/>
      <c r="R1" s="3"/>
      <c r="S1" s="3"/>
      <c r="T1" s="3"/>
    </row>
    <row r="2" spans="1:20" s="13" customFormat="1" x14ac:dyDescent="0.2">
      <c r="A2" s="102" t="s">
        <v>232</v>
      </c>
      <c r="B2" s="29" t="s">
        <v>105</v>
      </c>
      <c r="C2" s="21" t="s">
        <v>818</v>
      </c>
      <c r="D2" s="2" t="s">
        <v>818</v>
      </c>
      <c r="E2" s="5">
        <v>1941</v>
      </c>
      <c r="F2" s="2" t="b">
        <v>1</v>
      </c>
      <c r="G2" s="5">
        <v>183420</v>
      </c>
      <c r="H2" s="2" t="s">
        <v>818</v>
      </c>
      <c r="I2" s="5">
        <v>70581</v>
      </c>
      <c r="J2" s="2" t="s">
        <v>838</v>
      </c>
      <c r="K2" s="5">
        <v>13561</v>
      </c>
      <c r="L2" s="4" t="s">
        <v>833</v>
      </c>
      <c r="M2" s="5">
        <v>9285</v>
      </c>
      <c r="N2" s="2" t="s">
        <v>822</v>
      </c>
      <c r="O2" s="5">
        <v>280</v>
      </c>
      <c r="P2" s="2" t="s">
        <v>820</v>
      </c>
      <c r="Q2" s="5">
        <v>947</v>
      </c>
      <c r="R2" s="11" t="s">
        <v>859</v>
      </c>
      <c r="S2" s="11"/>
      <c r="T2" s="11"/>
    </row>
    <row r="3" spans="1:20" x14ac:dyDescent="0.2">
      <c r="A3" s="103"/>
      <c r="B3" s="28" t="s">
        <v>106</v>
      </c>
      <c r="C3" s="22" t="s">
        <v>818</v>
      </c>
      <c r="D3" s="2" t="s">
        <v>818</v>
      </c>
      <c r="E3" s="5">
        <v>441</v>
      </c>
      <c r="F3" s="2" t="b">
        <v>1</v>
      </c>
      <c r="G3" s="5">
        <v>64225</v>
      </c>
      <c r="H3" s="2" t="s">
        <v>818</v>
      </c>
      <c r="I3" s="5">
        <v>6584</v>
      </c>
      <c r="J3" s="2" t="b">
        <v>1</v>
      </c>
      <c r="K3" s="5">
        <v>4165</v>
      </c>
      <c r="L3" s="4" t="s">
        <v>833</v>
      </c>
      <c r="M3" s="5">
        <v>8070</v>
      </c>
      <c r="N3" s="2" t="s">
        <v>822</v>
      </c>
      <c r="O3" s="5">
        <v>292</v>
      </c>
      <c r="P3" s="2" t="s">
        <v>820</v>
      </c>
      <c r="Q3" s="5">
        <v>708</v>
      </c>
      <c r="R3" s="2" t="s">
        <v>859</v>
      </c>
      <c r="T3" s="2"/>
    </row>
    <row r="4" spans="1:20" x14ac:dyDescent="0.2">
      <c r="A4" s="103"/>
      <c r="B4" s="28" t="s">
        <v>107</v>
      </c>
      <c r="C4" s="22" t="s">
        <v>818</v>
      </c>
      <c r="D4" s="2" t="s">
        <v>818</v>
      </c>
      <c r="E4" s="5">
        <v>403</v>
      </c>
      <c r="F4" s="2" t="b">
        <v>1</v>
      </c>
      <c r="G4" s="5">
        <v>59158</v>
      </c>
      <c r="H4" s="2" t="s">
        <v>818</v>
      </c>
      <c r="I4" s="5">
        <v>6566</v>
      </c>
      <c r="J4" s="2" t="b">
        <v>1</v>
      </c>
      <c r="K4" s="5">
        <v>3968</v>
      </c>
      <c r="L4" s="4" t="s">
        <v>833</v>
      </c>
      <c r="M4" s="5">
        <v>8084</v>
      </c>
      <c r="N4" s="2" t="s">
        <v>822</v>
      </c>
      <c r="O4" s="5">
        <v>282</v>
      </c>
      <c r="P4" s="2" t="s">
        <v>820</v>
      </c>
      <c r="Q4" s="5">
        <v>858</v>
      </c>
      <c r="R4" s="2" t="s">
        <v>859</v>
      </c>
      <c r="T4" s="2"/>
    </row>
    <row r="5" spans="1:20" x14ac:dyDescent="0.2">
      <c r="A5" s="103"/>
      <c r="B5" s="28" t="s">
        <v>108</v>
      </c>
      <c r="C5" s="22" t="s">
        <v>818</v>
      </c>
      <c r="D5" s="2" t="s">
        <v>818</v>
      </c>
      <c r="E5" s="5">
        <v>418</v>
      </c>
      <c r="F5" s="2" t="b">
        <v>1</v>
      </c>
      <c r="G5" s="5">
        <v>66098</v>
      </c>
      <c r="H5" s="2" t="s">
        <v>818</v>
      </c>
      <c r="I5" s="5">
        <v>9094</v>
      </c>
      <c r="J5" s="2" t="b">
        <v>1</v>
      </c>
      <c r="K5" s="5">
        <v>4975</v>
      </c>
      <c r="L5" s="4" t="s">
        <v>833</v>
      </c>
      <c r="M5" s="5">
        <v>9596</v>
      </c>
      <c r="N5" s="2" t="s">
        <v>822</v>
      </c>
      <c r="O5" s="5">
        <v>265</v>
      </c>
      <c r="P5" s="2" t="s">
        <v>820</v>
      </c>
      <c r="Q5" s="5">
        <v>812</v>
      </c>
      <c r="R5" s="2" t="s">
        <v>859</v>
      </c>
      <c r="T5" s="2"/>
    </row>
    <row r="6" spans="1:20" x14ac:dyDescent="0.2">
      <c r="A6" s="103"/>
      <c r="B6" s="28" t="s">
        <v>109</v>
      </c>
      <c r="C6" s="22" t="s">
        <v>818</v>
      </c>
      <c r="D6" s="2" t="s">
        <v>818</v>
      </c>
      <c r="E6" s="5">
        <v>439</v>
      </c>
      <c r="F6" s="2" t="b">
        <v>1</v>
      </c>
      <c r="G6" s="5">
        <v>61116</v>
      </c>
      <c r="H6" s="2" t="s">
        <v>818</v>
      </c>
      <c r="I6" s="5">
        <v>9095</v>
      </c>
      <c r="J6" s="2" t="b">
        <v>1</v>
      </c>
      <c r="K6" s="5">
        <v>5063</v>
      </c>
      <c r="L6" s="4" t="s">
        <v>833</v>
      </c>
      <c r="M6" s="5">
        <v>9690</v>
      </c>
      <c r="N6" s="2" t="s">
        <v>822</v>
      </c>
      <c r="O6" s="5">
        <v>271</v>
      </c>
      <c r="P6" s="2" t="s">
        <v>820</v>
      </c>
      <c r="Q6" s="5">
        <v>855</v>
      </c>
      <c r="R6" s="2" t="s">
        <v>859</v>
      </c>
      <c r="T6" s="2"/>
    </row>
    <row r="7" spans="1:20" x14ac:dyDescent="0.2">
      <c r="A7" s="103"/>
      <c r="B7" s="28" t="s">
        <v>110</v>
      </c>
      <c r="C7" s="22" t="s">
        <v>818</v>
      </c>
      <c r="D7" s="2" t="s">
        <v>818</v>
      </c>
      <c r="E7" s="5">
        <v>442</v>
      </c>
      <c r="F7" s="2" t="b">
        <v>1</v>
      </c>
      <c r="G7" s="5">
        <v>65696</v>
      </c>
      <c r="H7" s="2" t="s">
        <v>818</v>
      </c>
      <c r="I7" s="5">
        <v>7122</v>
      </c>
      <c r="J7" s="2" t="b">
        <v>1</v>
      </c>
      <c r="K7" s="5">
        <v>4288</v>
      </c>
      <c r="L7" s="4" t="s">
        <v>833</v>
      </c>
      <c r="M7" s="5">
        <v>8207</v>
      </c>
      <c r="N7" s="2" t="s">
        <v>822</v>
      </c>
      <c r="O7" s="5">
        <v>276</v>
      </c>
      <c r="P7" s="2" t="s">
        <v>820</v>
      </c>
      <c r="Q7" s="5">
        <v>663</v>
      </c>
      <c r="R7" s="2" t="s">
        <v>859</v>
      </c>
      <c r="T7" s="2"/>
    </row>
    <row r="8" spans="1:20" x14ac:dyDescent="0.2">
      <c r="A8" s="103"/>
      <c r="B8" s="28" t="s">
        <v>111</v>
      </c>
      <c r="C8" s="22" t="s">
        <v>818</v>
      </c>
      <c r="D8" s="2" t="s">
        <v>818</v>
      </c>
      <c r="E8" s="5">
        <v>430</v>
      </c>
      <c r="F8" s="2" t="b">
        <v>0</v>
      </c>
      <c r="G8" s="5">
        <v>4657</v>
      </c>
      <c r="H8" s="2" t="s">
        <v>818</v>
      </c>
      <c r="I8" s="5">
        <v>6888</v>
      </c>
      <c r="J8" s="2" t="b">
        <v>1</v>
      </c>
      <c r="K8" s="5">
        <v>4536</v>
      </c>
      <c r="L8" s="4" t="s">
        <v>833</v>
      </c>
      <c r="M8" s="5">
        <v>8313</v>
      </c>
      <c r="N8" s="2" t="s">
        <v>822</v>
      </c>
      <c r="O8" s="5">
        <v>265</v>
      </c>
      <c r="P8" s="2" t="s">
        <v>820</v>
      </c>
      <c r="Q8" s="5">
        <v>760</v>
      </c>
      <c r="R8" s="2" t="s">
        <v>859</v>
      </c>
      <c r="T8" s="2"/>
    </row>
    <row r="9" spans="1:20" x14ac:dyDescent="0.2">
      <c r="A9" s="103"/>
      <c r="B9" s="28" t="s">
        <v>112</v>
      </c>
      <c r="C9" s="22" t="s">
        <v>818</v>
      </c>
      <c r="D9" s="2" t="s">
        <v>818</v>
      </c>
      <c r="E9" s="5">
        <v>1452</v>
      </c>
      <c r="F9" s="2" t="b">
        <v>1</v>
      </c>
      <c r="G9" s="5">
        <v>88589</v>
      </c>
      <c r="H9" s="2" t="s">
        <v>837</v>
      </c>
      <c r="I9" s="5">
        <v>900144</v>
      </c>
      <c r="J9" s="2" t="s">
        <v>838</v>
      </c>
      <c r="K9" s="5">
        <v>9694</v>
      </c>
      <c r="L9" s="4" t="s">
        <v>833</v>
      </c>
      <c r="M9" s="5">
        <v>8117</v>
      </c>
      <c r="N9" s="2" t="s">
        <v>822</v>
      </c>
      <c r="O9" s="5">
        <v>250</v>
      </c>
      <c r="P9" s="2" t="s">
        <v>820</v>
      </c>
      <c r="Q9" s="5">
        <v>784</v>
      </c>
      <c r="R9" s="2" t="s">
        <v>859</v>
      </c>
      <c r="T9" s="2"/>
    </row>
    <row r="10" spans="1:20" x14ac:dyDescent="0.2">
      <c r="A10" s="103"/>
      <c r="B10" s="28" t="s">
        <v>113</v>
      </c>
      <c r="C10" s="61" t="s">
        <v>818</v>
      </c>
      <c r="D10" s="2" t="s">
        <v>818</v>
      </c>
      <c r="E10" s="5">
        <v>1334</v>
      </c>
      <c r="F10" s="2" t="b">
        <v>0</v>
      </c>
      <c r="G10" s="5">
        <v>2159</v>
      </c>
      <c r="H10" s="2" t="s">
        <v>819</v>
      </c>
      <c r="I10" s="5">
        <v>4343</v>
      </c>
      <c r="J10" s="2" t="b">
        <v>1</v>
      </c>
      <c r="K10" s="5">
        <v>3205</v>
      </c>
      <c r="L10" s="4" t="s">
        <v>833</v>
      </c>
      <c r="M10" s="5">
        <v>6461</v>
      </c>
      <c r="N10" s="2" t="s">
        <v>822</v>
      </c>
      <c r="O10" s="5">
        <v>262</v>
      </c>
      <c r="P10" s="2" t="s">
        <v>838</v>
      </c>
      <c r="Q10" s="5">
        <v>394</v>
      </c>
      <c r="R10" s="2" t="s">
        <v>859</v>
      </c>
      <c r="T10" s="2"/>
    </row>
    <row r="11" spans="1:20" x14ac:dyDescent="0.2">
      <c r="A11" s="103"/>
      <c r="B11" s="28" t="s">
        <v>114</v>
      </c>
      <c r="C11" s="22" t="s">
        <v>818</v>
      </c>
      <c r="D11" s="2" t="s">
        <v>818</v>
      </c>
      <c r="E11" s="5">
        <v>1258</v>
      </c>
      <c r="F11" s="2" t="s">
        <v>883</v>
      </c>
      <c r="G11" s="5">
        <v>301865</v>
      </c>
      <c r="H11" s="2" t="s">
        <v>818</v>
      </c>
      <c r="I11" s="5">
        <v>24325</v>
      </c>
      <c r="J11" s="2" t="b">
        <v>1</v>
      </c>
      <c r="K11" s="5">
        <v>4926</v>
      </c>
      <c r="L11" s="4" t="s">
        <v>833</v>
      </c>
      <c r="M11" s="5">
        <v>7013</v>
      </c>
      <c r="N11" s="2" t="s">
        <v>822</v>
      </c>
      <c r="O11" s="5">
        <v>270</v>
      </c>
      <c r="P11" s="2" t="s">
        <v>820</v>
      </c>
      <c r="Q11" s="5">
        <v>1012</v>
      </c>
      <c r="R11" s="2" t="s">
        <v>859</v>
      </c>
      <c r="T11" s="2"/>
    </row>
    <row r="12" spans="1:20" x14ac:dyDescent="0.2">
      <c r="A12" s="103"/>
      <c r="B12" s="28" t="s">
        <v>115</v>
      </c>
      <c r="C12" s="22" t="s">
        <v>818</v>
      </c>
      <c r="D12" s="2" t="s">
        <v>818</v>
      </c>
      <c r="E12" s="5">
        <v>181212</v>
      </c>
      <c r="F12" s="2" t="s">
        <v>883</v>
      </c>
      <c r="G12" s="5">
        <v>301920</v>
      </c>
      <c r="H12" s="2" t="s">
        <v>818</v>
      </c>
      <c r="I12" s="5">
        <v>79838</v>
      </c>
      <c r="J12" s="2" t="b">
        <v>1</v>
      </c>
      <c r="K12" s="5">
        <v>6887</v>
      </c>
      <c r="L12" s="4" t="s">
        <v>833</v>
      </c>
      <c r="M12" s="5">
        <v>7539</v>
      </c>
      <c r="N12" s="2" t="s">
        <v>822</v>
      </c>
      <c r="O12" s="5">
        <v>298</v>
      </c>
      <c r="P12" s="2" t="s">
        <v>820</v>
      </c>
      <c r="Q12" s="5">
        <v>1304</v>
      </c>
      <c r="R12" s="2" t="s">
        <v>859</v>
      </c>
      <c r="T12" s="2"/>
    </row>
    <row r="13" spans="1:20" x14ac:dyDescent="0.2">
      <c r="A13" s="103"/>
      <c r="B13" s="28" t="s">
        <v>116</v>
      </c>
      <c r="C13" s="22" t="s">
        <v>818</v>
      </c>
      <c r="D13" s="2" t="s">
        <v>818</v>
      </c>
      <c r="E13" s="5">
        <v>1899</v>
      </c>
      <c r="F13" s="2" t="s">
        <v>883</v>
      </c>
      <c r="G13" s="5">
        <v>121906</v>
      </c>
      <c r="H13" s="2" t="s">
        <v>837</v>
      </c>
      <c r="I13" s="5">
        <v>910026</v>
      </c>
      <c r="J13" s="2" t="b">
        <v>1</v>
      </c>
      <c r="K13" s="5">
        <v>8101</v>
      </c>
      <c r="L13" s="4" t="s">
        <v>833</v>
      </c>
      <c r="M13" s="5">
        <v>7030</v>
      </c>
      <c r="N13" s="2" t="s">
        <v>822</v>
      </c>
      <c r="O13" s="5">
        <v>288</v>
      </c>
      <c r="P13" s="2" t="s">
        <v>820</v>
      </c>
      <c r="Q13" s="5">
        <v>1478</v>
      </c>
      <c r="R13" s="2" t="s">
        <v>859</v>
      </c>
      <c r="T13" s="2"/>
    </row>
    <row r="14" spans="1:20" x14ac:dyDescent="0.2">
      <c r="A14" s="103"/>
      <c r="B14" s="28" t="s">
        <v>117</v>
      </c>
      <c r="C14" s="22" t="s">
        <v>818</v>
      </c>
      <c r="D14" s="2" t="s">
        <v>818</v>
      </c>
      <c r="E14" s="5">
        <v>440</v>
      </c>
      <c r="F14" s="2" t="b">
        <v>1</v>
      </c>
      <c r="G14" s="5">
        <v>182879</v>
      </c>
      <c r="H14" s="2" t="s">
        <v>818</v>
      </c>
      <c r="I14" s="5">
        <v>12540</v>
      </c>
      <c r="J14" s="2" t="b">
        <v>1</v>
      </c>
      <c r="K14" s="5">
        <v>7785</v>
      </c>
      <c r="L14" s="4" t="s">
        <v>833</v>
      </c>
      <c r="M14" s="5">
        <v>10179</v>
      </c>
      <c r="N14" s="2" t="s">
        <v>822</v>
      </c>
      <c r="O14" s="5">
        <v>264</v>
      </c>
      <c r="P14" s="2" t="s">
        <v>820</v>
      </c>
      <c r="Q14" s="5">
        <v>975</v>
      </c>
      <c r="R14" s="2" t="s">
        <v>859</v>
      </c>
      <c r="T14" s="2"/>
    </row>
    <row r="15" spans="1:20" x14ac:dyDescent="0.2">
      <c r="A15" s="103"/>
      <c r="B15" s="28" t="s">
        <v>118</v>
      </c>
      <c r="C15" s="22" t="s">
        <v>818</v>
      </c>
      <c r="D15" s="2" t="s">
        <v>818</v>
      </c>
      <c r="E15" s="5">
        <v>417</v>
      </c>
      <c r="F15" s="2" t="b">
        <v>1</v>
      </c>
      <c r="G15" s="5">
        <v>84440</v>
      </c>
      <c r="H15" s="2" t="s">
        <v>837</v>
      </c>
      <c r="I15" s="5">
        <v>910041</v>
      </c>
      <c r="J15" s="2" t="s">
        <v>838</v>
      </c>
      <c r="K15" s="5">
        <v>18071</v>
      </c>
      <c r="L15" s="4" t="s">
        <v>833</v>
      </c>
      <c r="M15" s="5">
        <v>9595</v>
      </c>
      <c r="N15" s="2" t="s">
        <v>822</v>
      </c>
      <c r="O15" s="5">
        <v>272</v>
      </c>
      <c r="P15" s="2" t="s">
        <v>820</v>
      </c>
      <c r="Q15" s="5">
        <v>1051</v>
      </c>
      <c r="R15" s="2" t="s">
        <v>859</v>
      </c>
      <c r="T15" s="2"/>
    </row>
    <row r="16" spans="1:20" x14ac:dyDescent="0.2">
      <c r="A16" s="103"/>
      <c r="B16" s="28" t="s">
        <v>119</v>
      </c>
      <c r="C16" s="22" t="s">
        <v>818</v>
      </c>
      <c r="D16" s="2" t="s">
        <v>818</v>
      </c>
      <c r="E16" s="5">
        <v>436</v>
      </c>
      <c r="F16" s="2" t="b">
        <v>1</v>
      </c>
      <c r="G16" s="5">
        <v>63536</v>
      </c>
      <c r="H16" s="2" t="s">
        <v>818</v>
      </c>
      <c r="I16" s="5">
        <v>7832</v>
      </c>
      <c r="J16" s="2" t="b">
        <v>1</v>
      </c>
      <c r="K16" s="5">
        <v>4138</v>
      </c>
      <c r="L16" s="4" t="s">
        <v>833</v>
      </c>
      <c r="M16" s="5">
        <v>8117</v>
      </c>
      <c r="N16" s="2" t="s">
        <v>822</v>
      </c>
      <c r="O16" s="5">
        <v>262</v>
      </c>
      <c r="P16" s="2" t="s">
        <v>820</v>
      </c>
      <c r="Q16" s="5">
        <v>790</v>
      </c>
      <c r="R16" s="2" t="s">
        <v>859</v>
      </c>
      <c r="T16" s="2"/>
    </row>
    <row r="17" spans="1:20" x14ac:dyDescent="0.2">
      <c r="A17" s="103"/>
      <c r="B17" s="28" t="s">
        <v>120</v>
      </c>
      <c r="C17" s="22" t="s">
        <v>818</v>
      </c>
      <c r="D17" s="2" t="s">
        <v>818</v>
      </c>
      <c r="E17" s="5">
        <v>443</v>
      </c>
      <c r="F17" s="2" t="b">
        <v>1</v>
      </c>
      <c r="G17" s="5">
        <v>60030</v>
      </c>
      <c r="H17" s="2" t="s">
        <v>818</v>
      </c>
      <c r="I17" s="5">
        <v>7283</v>
      </c>
      <c r="J17" s="2" t="b">
        <v>1</v>
      </c>
      <c r="K17" s="5">
        <v>4191</v>
      </c>
      <c r="L17" s="4" t="s">
        <v>833</v>
      </c>
      <c r="M17" s="5">
        <v>8096</v>
      </c>
      <c r="N17" s="2" t="s">
        <v>822</v>
      </c>
      <c r="O17" s="5">
        <v>272</v>
      </c>
      <c r="P17" s="2" t="s">
        <v>820</v>
      </c>
      <c r="Q17" s="5">
        <v>794</v>
      </c>
      <c r="R17" s="2" t="s">
        <v>859</v>
      </c>
      <c r="T17" s="2"/>
    </row>
    <row r="18" spans="1:20" x14ac:dyDescent="0.2">
      <c r="A18" s="103"/>
      <c r="B18" s="28" t="s">
        <v>121</v>
      </c>
      <c r="C18" s="22" t="s">
        <v>818</v>
      </c>
      <c r="D18" s="2" t="s">
        <v>818</v>
      </c>
      <c r="E18" s="5">
        <v>420</v>
      </c>
      <c r="F18" s="2" t="b">
        <v>1</v>
      </c>
      <c r="G18" s="5">
        <v>183326</v>
      </c>
      <c r="H18" s="2" t="s">
        <v>818</v>
      </c>
      <c r="I18" s="5">
        <v>6628</v>
      </c>
      <c r="J18" s="2" t="b">
        <v>1</v>
      </c>
      <c r="K18" s="5">
        <v>3673</v>
      </c>
      <c r="L18" s="4" t="s">
        <v>833</v>
      </c>
      <c r="M18" s="5">
        <v>7301</v>
      </c>
      <c r="N18" s="2" t="s">
        <v>822</v>
      </c>
      <c r="O18" s="5">
        <v>274</v>
      </c>
      <c r="P18" s="2" t="s">
        <v>820</v>
      </c>
      <c r="Q18" s="5">
        <v>899</v>
      </c>
      <c r="R18" s="2" t="s">
        <v>859</v>
      </c>
      <c r="T18" s="2"/>
    </row>
    <row r="19" spans="1:20" x14ac:dyDescent="0.2">
      <c r="A19" s="103"/>
      <c r="B19" s="28" t="s">
        <v>122</v>
      </c>
      <c r="C19" s="22" t="s">
        <v>818</v>
      </c>
      <c r="D19" s="2" t="s">
        <v>818</v>
      </c>
      <c r="E19" s="5">
        <v>421</v>
      </c>
      <c r="F19" s="2" t="b">
        <v>1</v>
      </c>
      <c r="G19" s="5">
        <v>183265</v>
      </c>
      <c r="H19" s="2" t="s">
        <v>818</v>
      </c>
      <c r="I19" s="5">
        <v>6760</v>
      </c>
      <c r="J19" s="2" t="b">
        <v>1</v>
      </c>
      <c r="K19" s="5">
        <v>3655</v>
      </c>
      <c r="L19" s="4" t="s">
        <v>833</v>
      </c>
      <c r="M19" s="5">
        <v>7311</v>
      </c>
      <c r="N19" s="2" t="s">
        <v>822</v>
      </c>
      <c r="O19" s="5">
        <v>273</v>
      </c>
      <c r="P19" s="2" t="s">
        <v>820</v>
      </c>
      <c r="Q19" s="5">
        <v>707</v>
      </c>
      <c r="R19" s="2" t="s">
        <v>859</v>
      </c>
      <c r="T19" s="2"/>
    </row>
    <row r="20" spans="1:20" x14ac:dyDescent="0.2">
      <c r="A20" s="103"/>
      <c r="B20" s="28" t="s">
        <v>123</v>
      </c>
      <c r="C20" s="22" t="s">
        <v>818</v>
      </c>
      <c r="D20" s="2" t="s">
        <v>818</v>
      </c>
      <c r="E20" s="5">
        <v>432</v>
      </c>
      <c r="F20" s="2" t="b">
        <v>1</v>
      </c>
      <c r="G20" s="5">
        <v>65158</v>
      </c>
      <c r="H20" s="2" t="s">
        <v>818</v>
      </c>
      <c r="I20" s="5">
        <v>3375</v>
      </c>
      <c r="J20" s="2" t="b">
        <v>1</v>
      </c>
      <c r="K20" s="5">
        <v>4134</v>
      </c>
      <c r="L20" s="4" t="s">
        <v>833</v>
      </c>
      <c r="M20" s="5">
        <v>8215</v>
      </c>
      <c r="N20" s="2" t="s">
        <v>822</v>
      </c>
      <c r="O20" s="5">
        <v>289</v>
      </c>
      <c r="P20" s="2" t="s">
        <v>820</v>
      </c>
      <c r="Q20" s="5">
        <v>698</v>
      </c>
      <c r="R20" s="2" t="s">
        <v>859</v>
      </c>
      <c r="T20" s="2"/>
    </row>
    <row r="21" spans="1:20" x14ac:dyDescent="0.2">
      <c r="A21" s="103"/>
      <c r="B21" s="28" t="s">
        <v>124</v>
      </c>
      <c r="C21" s="22" t="s">
        <v>818</v>
      </c>
      <c r="D21" s="2" t="s">
        <v>818</v>
      </c>
      <c r="E21" s="5">
        <v>522</v>
      </c>
      <c r="F21" s="2" t="b">
        <v>1</v>
      </c>
      <c r="G21" s="5">
        <v>182563</v>
      </c>
      <c r="H21" s="2" t="s">
        <v>818</v>
      </c>
      <c r="I21" s="5">
        <v>6132</v>
      </c>
      <c r="J21" s="2" t="b">
        <v>1</v>
      </c>
      <c r="K21" s="5">
        <v>3678</v>
      </c>
      <c r="L21" s="4" t="s">
        <v>833</v>
      </c>
      <c r="M21" s="5">
        <v>7328</v>
      </c>
      <c r="N21" s="2" t="s">
        <v>822</v>
      </c>
      <c r="O21" s="5">
        <v>286</v>
      </c>
      <c r="P21" s="2" t="s">
        <v>838</v>
      </c>
      <c r="Q21" s="5">
        <v>450</v>
      </c>
      <c r="R21" s="2" t="s">
        <v>859</v>
      </c>
      <c r="T21" s="2"/>
    </row>
    <row r="22" spans="1:20" x14ac:dyDescent="0.2">
      <c r="A22" s="103"/>
      <c r="B22" s="28" t="s">
        <v>125</v>
      </c>
      <c r="C22" s="22" t="s">
        <v>818</v>
      </c>
      <c r="D22" s="2" t="s">
        <v>818</v>
      </c>
      <c r="E22" s="5">
        <v>424</v>
      </c>
      <c r="F22" s="2" t="b">
        <v>1</v>
      </c>
      <c r="G22" s="5">
        <v>63066</v>
      </c>
      <c r="H22" s="2" t="s">
        <v>818</v>
      </c>
      <c r="I22" s="5">
        <v>8555</v>
      </c>
      <c r="J22" s="2" t="b">
        <v>1</v>
      </c>
      <c r="K22" s="5">
        <v>3983</v>
      </c>
      <c r="L22" s="4" t="s">
        <v>833</v>
      </c>
      <c r="M22" s="5">
        <v>8153</v>
      </c>
      <c r="N22" s="2" t="s">
        <v>822</v>
      </c>
      <c r="O22" s="5">
        <v>269</v>
      </c>
      <c r="P22" s="2" t="s">
        <v>820</v>
      </c>
      <c r="Q22" s="5">
        <v>864</v>
      </c>
      <c r="R22" s="2" t="s">
        <v>859</v>
      </c>
      <c r="T22" s="2"/>
    </row>
    <row r="23" spans="1:20" x14ac:dyDescent="0.2">
      <c r="A23" s="103"/>
      <c r="B23" s="28" t="s">
        <v>126</v>
      </c>
      <c r="C23" s="22" t="s">
        <v>818</v>
      </c>
      <c r="D23" s="2" t="s">
        <v>818</v>
      </c>
      <c r="E23" s="5">
        <v>426</v>
      </c>
      <c r="F23" s="2" t="b">
        <v>1</v>
      </c>
      <c r="G23" s="5">
        <v>60177</v>
      </c>
      <c r="H23" s="2" t="s">
        <v>818</v>
      </c>
      <c r="I23" s="5">
        <v>9461</v>
      </c>
      <c r="J23" s="2" t="b">
        <v>1</v>
      </c>
      <c r="K23" s="5">
        <v>4838</v>
      </c>
      <c r="L23" s="4" t="s">
        <v>833</v>
      </c>
      <c r="M23" s="5">
        <v>9425</v>
      </c>
      <c r="N23" s="2" t="s">
        <v>822</v>
      </c>
      <c r="O23" s="5">
        <v>279</v>
      </c>
      <c r="P23" s="2" t="s">
        <v>820</v>
      </c>
      <c r="Q23" s="5">
        <v>824</v>
      </c>
      <c r="R23" s="2" t="s">
        <v>859</v>
      </c>
      <c r="T23" s="2"/>
    </row>
    <row r="24" spans="1:20" x14ac:dyDescent="0.2">
      <c r="A24" s="103"/>
      <c r="B24" s="28" t="s">
        <v>127</v>
      </c>
      <c r="C24" s="22" t="s">
        <v>818</v>
      </c>
      <c r="D24" s="2" t="s">
        <v>818</v>
      </c>
      <c r="E24" s="5">
        <v>443</v>
      </c>
      <c r="F24" s="2" t="b">
        <v>1</v>
      </c>
      <c r="G24" s="5">
        <v>182551</v>
      </c>
      <c r="H24" s="2" t="s">
        <v>818</v>
      </c>
      <c r="I24" s="5">
        <v>10717</v>
      </c>
      <c r="J24" s="2" t="b">
        <v>1</v>
      </c>
      <c r="K24" s="5">
        <v>21329</v>
      </c>
      <c r="L24" s="4" t="s">
        <v>833</v>
      </c>
      <c r="M24" s="5">
        <v>8394</v>
      </c>
      <c r="N24" s="2" t="s">
        <v>822</v>
      </c>
      <c r="O24" s="5">
        <v>296</v>
      </c>
      <c r="P24" s="2" t="s">
        <v>820</v>
      </c>
      <c r="Q24" s="5">
        <v>1082</v>
      </c>
      <c r="R24" s="2" t="s">
        <v>859</v>
      </c>
      <c r="T24" s="2"/>
    </row>
    <row r="25" spans="1:20" x14ac:dyDescent="0.2">
      <c r="A25" s="103"/>
      <c r="B25" s="28" t="s">
        <v>128</v>
      </c>
      <c r="C25" s="22" t="s">
        <v>818</v>
      </c>
      <c r="D25" s="2" t="s">
        <v>818</v>
      </c>
      <c r="E25" s="5">
        <v>751</v>
      </c>
      <c r="F25" s="2" t="b">
        <v>1</v>
      </c>
      <c r="G25" s="5">
        <v>79655</v>
      </c>
      <c r="H25" s="2" t="s">
        <v>818</v>
      </c>
      <c r="I25" s="5">
        <v>10921</v>
      </c>
      <c r="J25" s="2" t="s">
        <v>833</v>
      </c>
      <c r="K25" s="5">
        <v>27786</v>
      </c>
      <c r="L25" s="4" t="s">
        <v>833</v>
      </c>
      <c r="M25" s="5">
        <v>8582</v>
      </c>
      <c r="N25" s="2" t="s">
        <v>822</v>
      </c>
      <c r="O25" s="5">
        <v>279</v>
      </c>
      <c r="P25" s="2" t="s">
        <v>820</v>
      </c>
      <c r="Q25" s="5">
        <v>1085</v>
      </c>
      <c r="R25" s="2" t="s">
        <v>859</v>
      </c>
      <c r="T25" s="2"/>
    </row>
    <row r="26" spans="1:20" x14ac:dyDescent="0.2">
      <c r="A26" s="103"/>
      <c r="B26" s="28" t="s">
        <v>129</v>
      </c>
      <c r="C26" s="22" t="s">
        <v>818</v>
      </c>
      <c r="D26" s="2" t="s">
        <v>818</v>
      </c>
      <c r="E26" s="5">
        <v>411</v>
      </c>
      <c r="F26" s="2" t="b">
        <v>1</v>
      </c>
      <c r="G26" s="5">
        <v>110583</v>
      </c>
      <c r="H26" s="2" t="s">
        <v>818</v>
      </c>
      <c r="I26" s="5">
        <v>12585</v>
      </c>
      <c r="J26" s="2" t="b">
        <v>1</v>
      </c>
      <c r="K26" s="5">
        <v>5978</v>
      </c>
      <c r="L26" s="4" t="s">
        <v>833</v>
      </c>
      <c r="M26" s="5">
        <v>8221</v>
      </c>
      <c r="N26" s="2" t="s">
        <v>822</v>
      </c>
      <c r="O26" s="5">
        <v>275</v>
      </c>
      <c r="P26" s="2" t="s">
        <v>820</v>
      </c>
      <c r="Q26" s="5">
        <v>800</v>
      </c>
      <c r="R26" s="2" t="s">
        <v>859</v>
      </c>
      <c r="T26" s="2"/>
    </row>
    <row r="27" spans="1:20" x14ac:dyDescent="0.2">
      <c r="A27" s="103"/>
      <c r="B27" s="28" t="s">
        <v>130</v>
      </c>
      <c r="C27" s="22" t="s">
        <v>818</v>
      </c>
      <c r="D27" s="2" t="s">
        <v>818</v>
      </c>
      <c r="E27" s="5">
        <v>403</v>
      </c>
      <c r="F27" s="2" t="b">
        <v>1</v>
      </c>
      <c r="G27" s="5">
        <v>112376</v>
      </c>
      <c r="H27" s="2" t="s">
        <v>837</v>
      </c>
      <c r="I27" s="5">
        <v>900153</v>
      </c>
      <c r="J27" s="2" t="s">
        <v>838</v>
      </c>
      <c r="K27" s="5">
        <v>9532</v>
      </c>
      <c r="L27" s="4" t="s">
        <v>833</v>
      </c>
      <c r="M27" s="5">
        <v>8251</v>
      </c>
      <c r="N27" s="2" t="s">
        <v>822</v>
      </c>
      <c r="O27" s="5">
        <v>266</v>
      </c>
      <c r="P27" s="2" t="s">
        <v>820</v>
      </c>
      <c r="Q27" s="5">
        <v>989</v>
      </c>
      <c r="R27" s="2" t="s">
        <v>859</v>
      </c>
      <c r="T27" s="2"/>
    </row>
    <row r="28" spans="1:20" x14ac:dyDescent="0.2">
      <c r="A28" s="103"/>
      <c r="B28" s="28" t="s">
        <v>131</v>
      </c>
      <c r="C28" s="22" t="s">
        <v>818</v>
      </c>
      <c r="D28" s="2" t="s">
        <v>818</v>
      </c>
      <c r="E28" s="5">
        <v>694</v>
      </c>
      <c r="F28" s="2" t="b">
        <v>1</v>
      </c>
      <c r="G28" s="5">
        <v>109403</v>
      </c>
      <c r="H28" s="2" t="s">
        <v>818</v>
      </c>
      <c r="I28" s="5">
        <v>11005</v>
      </c>
      <c r="J28" s="2" t="b">
        <v>1</v>
      </c>
      <c r="K28" s="5">
        <v>6893</v>
      </c>
      <c r="L28" s="4" t="s">
        <v>833</v>
      </c>
      <c r="M28" s="5">
        <v>8122</v>
      </c>
      <c r="N28" s="2" t="s">
        <v>822</v>
      </c>
      <c r="O28" s="5">
        <v>264</v>
      </c>
      <c r="P28" s="2" t="s">
        <v>820</v>
      </c>
      <c r="Q28" s="5">
        <v>6693</v>
      </c>
      <c r="R28" s="2" t="s">
        <v>859</v>
      </c>
      <c r="T28" s="2"/>
    </row>
    <row r="29" spans="1:20" x14ac:dyDescent="0.2">
      <c r="A29" s="103"/>
      <c r="B29" s="28" t="s">
        <v>132</v>
      </c>
      <c r="C29" s="22" t="s">
        <v>818</v>
      </c>
      <c r="D29" s="2" t="s">
        <v>818</v>
      </c>
      <c r="E29" s="5">
        <v>7215</v>
      </c>
      <c r="F29" s="2" t="b">
        <v>1</v>
      </c>
      <c r="G29" s="5">
        <v>93045</v>
      </c>
      <c r="H29" s="2" t="s">
        <v>818</v>
      </c>
      <c r="I29" s="5">
        <v>22322</v>
      </c>
      <c r="J29" s="2" t="s">
        <v>838</v>
      </c>
      <c r="K29" s="5">
        <v>33383</v>
      </c>
      <c r="L29" s="4" t="s">
        <v>833</v>
      </c>
      <c r="M29" s="5">
        <v>9436</v>
      </c>
      <c r="N29" s="2" t="s">
        <v>822</v>
      </c>
      <c r="O29" s="5">
        <v>270</v>
      </c>
      <c r="P29" s="2" t="s">
        <v>820</v>
      </c>
      <c r="Q29" s="5">
        <v>42146</v>
      </c>
      <c r="R29" s="2" t="s">
        <v>859</v>
      </c>
      <c r="T29" s="2"/>
    </row>
    <row r="30" spans="1:20" x14ac:dyDescent="0.2">
      <c r="A30" s="103"/>
      <c r="B30" s="28" t="s">
        <v>133</v>
      </c>
      <c r="C30" s="22" t="s">
        <v>818</v>
      </c>
      <c r="D30" s="2" t="s">
        <v>818</v>
      </c>
      <c r="E30" s="5">
        <v>1192</v>
      </c>
      <c r="F30" s="2" t="b">
        <v>1</v>
      </c>
      <c r="G30" s="5">
        <v>183496</v>
      </c>
      <c r="H30" s="2" t="s">
        <v>818</v>
      </c>
      <c r="I30" s="5">
        <v>7536</v>
      </c>
      <c r="J30" s="2" t="b">
        <v>1</v>
      </c>
      <c r="K30" s="5">
        <v>9009</v>
      </c>
      <c r="L30" s="4" t="s">
        <v>833</v>
      </c>
      <c r="M30" s="5">
        <v>9504</v>
      </c>
      <c r="N30" s="2" t="s">
        <v>822</v>
      </c>
      <c r="O30" s="5">
        <v>261</v>
      </c>
      <c r="P30" s="2" t="s">
        <v>820</v>
      </c>
      <c r="Q30" s="5">
        <v>785</v>
      </c>
      <c r="R30" s="2" t="s">
        <v>859</v>
      </c>
      <c r="T30" s="2"/>
    </row>
    <row r="31" spans="1:20" x14ac:dyDescent="0.2">
      <c r="A31" s="103"/>
      <c r="B31" s="28" t="s">
        <v>134</v>
      </c>
      <c r="C31" s="22" t="s">
        <v>818</v>
      </c>
      <c r="D31" s="2" t="s">
        <v>818</v>
      </c>
      <c r="E31" s="5">
        <v>1649</v>
      </c>
      <c r="F31" s="2" t="b">
        <v>1</v>
      </c>
      <c r="G31" s="5">
        <v>184414</v>
      </c>
      <c r="H31" s="2" t="s">
        <v>818</v>
      </c>
      <c r="I31" s="5">
        <v>8312</v>
      </c>
      <c r="J31" s="2" t="s">
        <v>838</v>
      </c>
      <c r="K31" s="5">
        <v>112373</v>
      </c>
      <c r="L31" s="4" t="s">
        <v>833</v>
      </c>
      <c r="M31" s="5">
        <v>11864</v>
      </c>
      <c r="N31" s="2" t="s">
        <v>822</v>
      </c>
      <c r="O31" s="5">
        <v>270</v>
      </c>
      <c r="P31" s="2" t="s">
        <v>820</v>
      </c>
      <c r="Q31" s="5">
        <v>915</v>
      </c>
      <c r="R31" s="2" t="s">
        <v>859</v>
      </c>
      <c r="T31" s="2"/>
    </row>
    <row r="32" spans="1:20" x14ac:dyDescent="0.2">
      <c r="A32" s="103"/>
      <c r="B32" s="28" t="s">
        <v>135</v>
      </c>
      <c r="C32" s="22" t="s">
        <v>818</v>
      </c>
      <c r="D32" s="2" t="s">
        <v>818</v>
      </c>
      <c r="E32" s="5">
        <v>2714</v>
      </c>
      <c r="F32" s="2" t="b">
        <v>1</v>
      </c>
      <c r="G32" s="5">
        <v>183181</v>
      </c>
      <c r="H32" s="2" t="s">
        <v>818</v>
      </c>
      <c r="I32" s="5">
        <v>10575</v>
      </c>
      <c r="J32" s="2" t="b">
        <v>1</v>
      </c>
      <c r="K32" s="5">
        <v>7153</v>
      </c>
      <c r="L32" s="4" t="s">
        <v>833</v>
      </c>
      <c r="M32" s="5">
        <v>9276</v>
      </c>
      <c r="N32" s="2" t="s">
        <v>822</v>
      </c>
      <c r="O32" s="5">
        <v>270</v>
      </c>
      <c r="P32" s="2" t="s">
        <v>820</v>
      </c>
      <c r="Q32" s="5">
        <v>732</v>
      </c>
      <c r="R32" s="2" t="s">
        <v>859</v>
      </c>
      <c r="T32" s="2"/>
    </row>
    <row r="33" spans="1:20" x14ac:dyDescent="0.2">
      <c r="A33" s="103"/>
      <c r="B33" s="28" t="s">
        <v>136</v>
      </c>
      <c r="C33" s="22" t="s">
        <v>818</v>
      </c>
      <c r="D33" s="2" t="s">
        <v>818</v>
      </c>
      <c r="E33" s="5">
        <v>7261</v>
      </c>
      <c r="F33" s="2" t="b">
        <v>1</v>
      </c>
      <c r="G33" s="5">
        <v>184569</v>
      </c>
      <c r="H33" s="2" t="s">
        <v>838</v>
      </c>
      <c r="I33" s="5">
        <v>71562</v>
      </c>
      <c r="J33" s="2" t="s">
        <v>838</v>
      </c>
      <c r="K33" s="5">
        <v>11355</v>
      </c>
      <c r="L33" s="4" t="s">
        <v>833</v>
      </c>
      <c r="M33" s="5">
        <v>11410</v>
      </c>
      <c r="N33" s="2" t="s">
        <v>822</v>
      </c>
      <c r="O33" s="5">
        <v>268</v>
      </c>
      <c r="P33" s="2" t="s">
        <v>820</v>
      </c>
      <c r="Q33" s="5">
        <v>1039</v>
      </c>
      <c r="R33" s="2" t="s">
        <v>859</v>
      </c>
      <c r="T33" s="2"/>
    </row>
    <row r="34" spans="1:20" x14ac:dyDescent="0.2">
      <c r="A34" s="103"/>
      <c r="B34" s="28" t="s">
        <v>137</v>
      </c>
      <c r="C34" s="22" t="s">
        <v>818</v>
      </c>
      <c r="D34" s="2" t="s">
        <v>837</v>
      </c>
      <c r="E34" s="5">
        <v>900709</v>
      </c>
      <c r="F34" s="2" t="b">
        <v>1</v>
      </c>
      <c r="G34" s="5">
        <v>182735</v>
      </c>
      <c r="H34" s="2" t="s">
        <v>818</v>
      </c>
      <c r="I34" s="5">
        <v>6353</v>
      </c>
      <c r="J34" s="2" t="b">
        <v>1</v>
      </c>
      <c r="K34" s="5">
        <v>8712</v>
      </c>
      <c r="L34" s="4" t="s">
        <v>833</v>
      </c>
      <c r="M34" s="5">
        <v>8734</v>
      </c>
      <c r="N34" s="2" t="s">
        <v>822</v>
      </c>
      <c r="O34" s="5">
        <v>263</v>
      </c>
      <c r="P34" s="2" t="s">
        <v>838</v>
      </c>
      <c r="Q34" s="5">
        <v>661</v>
      </c>
      <c r="R34" s="2" t="s">
        <v>859</v>
      </c>
      <c r="T34" s="2"/>
    </row>
    <row r="35" spans="1:20" x14ac:dyDescent="0.2">
      <c r="A35" s="103"/>
      <c r="B35" s="28" t="s">
        <v>138</v>
      </c>
      <c r="C35" s="22" t="s">
        <v>818</v>
      </c>
      <c r="D35" s="2" t="s">
        <v>818</v>
      </c>
      <c r="E35" s="5">
        <v>1390</v>
      </c>
      <c r="F35" s="2" t="b">
        <v>1</v>
      </c>
      <c r="G35" s="5">
        <v>183396</v>
      </c>
      <c r="H35" s="2" t="s">
        <v>818</v>
      </c>
      <c r="I35" s="5">
        <v>9711</v>
      </c>
      <c r="J35" s="2" t="b">
        <v>1</v>
      </c>
      <c r="K35" s="5">
        <v>11148</v>
      </c>
      <c r="L35" s="4" t="s">
        <v>833</v>
      </c>
      <c r="M35" s="5">
        <v>8024</v>
      </c>
      <c r="N35" s="2" t="s">
        <v>822</v>
      </c>
      <c r="O35" s="5">
        <v>271</v>
      </c>
      <c r="P35" s="2" t="s">
        <v>820</v>
      </c>
      <c r="Q35" s="5">
        <v>922</v>
      </c>
      <c r="R35" s="2" t="s">
        <v>859</v>
      </c>
      <c r="T35" s="2"/>
    </row>
    <row r="36" spans="1:20" x14ac:dyDescent="0.2">
      <c r="A36" s="103"/>
      <c r="B36" s="28" t="s">
        <v>139</v>
      </c>
      <c r="C36" s="61" t="s">
        <v>818</v>
      </c>
      <c r="D36" s="2" t="s">
        <v>837</v>
      </c>
      <c r="E36" s="5">
        <v>900432</v>
      </c>
      <c r="F36" s="2" t="b">
        <v>1</v>
      </c>
      <c r="G36" s="5">
        <v>183549</v>
      </c>
      <c r="H36" s="64" t="s">
        <v>837</v>
      </c>
      <c r="I36" s="5">
        <v>910031</v>
      </c>
      <c r="J36" s="2" t="b">
        <v>1</v>
      </c>
      <c r="K36" s="5">
        <v>4796</v>
      </c>
      <c r="L36" s="4" t="s">
        <v>833</v>
      </c>
      <c r="M36" s="5">
        <v>8483</v>
      </c>
      <c r="N36" s="2" t="s">
        <v>822</v>
      </c>
      <c r="O36" s="5">
        <v>299</v>
      </c>
      <c r="P36" s="2" t="s">
        <v>820</v>
      </c>
      <c r="Q36" s="5">
        <v>1436</v>
      </c>
      <c r="R36" s="2" t="s">
        <v>859</v>
      </c>
      <c r="T36" s="2"/>
    </row>
    <row r="37" spans="1:20" x14ac:dyDescent="0.2">
      <c r="A37" s="103"/>
      <c r="B37" s="28" t="s">
        <v>140</v>
      </c>
      <c r="C37" s="22" t="s">
        <v>820</v>
      </c>
      <c r="D37" s="2" t="s">
        <v>820</v>
      </c>
      <c r="E37" s="5">
        <v>520</v>
      </c>
      <c r="F37" s="2" t="s">
        <v>883</v>
      </c>
      <c r="G37" s="5">
        <v>121817</v>
      </c>
      <c r="H37" s="2" t="s">
        <v>819</v>
      </c>
      <c r="I37" s="5">
        <v>74882</v>
      </c>
      <c r="J37" s="2" t="b">
        <v>0</v>
      </c>
      <c r="K37" s="5">
        <v>2955</v>
      </c>
      <c r="L37" s="4" t="s">
        <v>833</v>
      </c>
      <c r="M37" s="5">
        <v>7508</v>
      </c>
      <c r="N37" s="2" t="s">
        <v>822</v>
      </c>
      <c r="O37" s="5">
        <v>279</v>
      </c>
      <c r="P37" s="2" t="s">
        <v>820</v>
      </c>
      <c r="Q37" s="5">
        <v>951</v>
      </c>
      <c r="R37" s="2" t="s">
        <v>859</v>
      </c>
      <c r="T37" s="2"/>
    </row>
    <row r="38" spans="1:20" x14ac:dyDescent="0.2">
      <c r="A38" s="103"/>
      <c r="B38" s="28" t="s">
        <v>141</v>
      </c>
      <c r="C38" s="22" t="s">
        <v>820</v>
      </c>
      <c r="D38" s="2" t="s">
        <v>820</v>
      </c>
      <c r="E38" s="5">
        <v>416</v>
      </c>
      <c r="F38" s="2" t="b">
        <v>0</v>
      </c>
      <c r="G38" s="5">
        <v>2233</v>
      </c>
      <c r="H38" s="2" t="s">
        <v>819</v>
      </c>
      <c r="I38" s="5">
        <v>14752</v>
      </c>
      <c r="J38" s="2" t="b">
        <v>0</v>
      </c>
      <c r="K38" s="5">
        <v>2720</v>
      </c>
      <c r="L38" s="4" t="s">
        <v>833</v>
      </c>
      <c r="M38" s="5">
        <v>7304</v>
      </c>
      <c r="N38" s="2" t="s">
        <v>822</v>
      </c>
      <c r="O38" s="5">
        <v>284</v>
      </c>
      <c r="P38" s="2" t="s">
        <v>820</v>
      </c>
      <c r="Q38" s="5">
        <v>1061</v>
      </c>
      <c r="R38" s="2" t="s">
        <v>859</v>
      </c>
      <c r="T38" s="2"/>
    </row>
    <row r="39" spans="1:20" x14ac:dyDescent="0.2">
      <c r="A39" s="103"/>
      <c r="B39" s="28" t="s">
        <v>142</v>
      </c>
      <c r="C39" s="22" t="s">
        <v>818</v>
      </c>
      <c r="D39" s="2" t="s">
        <v>818</v>
      </c>
      <c r="E39" s="5">
        <v>1456</v>
      </c>
      <c r="F39" s="2" t="s">
        <v>883</v>
      </c>
      <c r="G39" s="5">
        <v>302146</v>
      </c>
      <c r="H39" s="2" t="s">
        <v>818</v>
      </c>
      <c r="I39" s="5">
        <v>10597</v>
      </c>
      <c r="J39" s="2" t="s">
        <v>838</v>
      </c>
      <c r="K39" s="5">
        <v>8370</v>
      </c>
      <c r="L39" s="4" t="s">
        <v>833</v>
      </c>
      <c r="M39" s="5">
        <v>8728</v>
      </c>
      <c r="N39" s="2" t="s">
        <v>822</v>
      </c>
      <c r="O39" s="5">
        <v>273</v>
      </c>
      <c r="P39" s="2" t="s">
        <v>820</v>
      </c>
      <c r="Q39" s="5">
        <v>997</v>
      </c>
      <c r="R39" s="2" t="s">
        <v>859</v>
      </c>
      <c r="T39" s="2"/>
    </row>
    <row r="40" spans="1:20" x14ac:dyDescent="0.2">
      <c r="A40" s="103"/>
      <c r="B40" s="28" t="s">
        <v>143</v>
      </c>
      <c r="C40" s="22" t="s">
        <v>818</v>
      </c>
      <c r="D40" s="2" t="s">
        <v>818</v>
      </c>
      <c r="E40" s="5">
        <v>643</v>
      </c>
      <c r="F40" s="2" t="s">
        <v>883</v>
      </c>
      <c r="G40" s="5">
        <v>175113</v>
      </c>
      <c r="H40" s="2" t="s">
        <v>818</v>
      </c>
      <c r="I40" s="5">
        <v>5772</v>
      </c>
      <c r="J40" s="2" t="b">
        <v>1</v>
      </c>
      <c r="K40" s="5">
        <v>3560</v>
      </c>
      <c r="L40" s="4" t="s">
        <v>833</v>
      </c>
      <c r="M40" s="5">
        <v>6885</v>
      </c>
      <c r="N40" s="2" t="s">
        <v>822</v>
      </c>
      <c r="O40" s="5">
        <v>263</v>
      </c>
      <c r="P40" s="2" t="s">
        <v>820</v>
      </c>
      <c r="Q40" s="5">
        <v>734</v>
      </c>
      <c r="R40" s="2" t="s">
        <v>859</v>
      </c>
      <c r="T40" s="2"/>
    </row>
    <row r="41" spans="1:20" x14ac:dyDescent="0.2">
      <c r="A41" s="103"/>
      <c r="B41" s="28" t="s">
        <v>144</v>
      </c>
      <c r="C41" s="22" t="s">
        <v>818</v>
      </c>
      <c r="D41" s="2" t="s">
        <v>818</v>
      </c>
      <c r="E41" s="5">
        <v>632</v>
      </c>
      <c r="F41" s="2" t="b">
        <v>1</v>
      </c>
      <c r="G41" s="5">
        <v>181790</v>
      </c>
      <c r="H41" s="2" t="s">
        <v>819</v>
      </c>
      <c r="I41" s="5">
        <v>46741</v>
      </c>
      <c r="J41" s="2" t="b">
        <v>1</v>
      </c>
      <c r="K41" s="5">
        <v>6438</v>
      </c>
      <c r="L41" s="4" t="s">
        <v>838</v>
      </c>
      <c r="M41" s="5">
        <v>8959</v>
      </c>
      <c r="N41" s="2" t="s">
        <v>822</v>
      </c>
      <c r="O41" s="5">
        <v>266</v>
      </c>
      <c r="P41" s="2" t="s">
        <v>818</v>
      </c>
      <c r="Q41" s="5">
        <v>18641</v>
      </c>
      <c r="R41" s="2" t="s">
        <v>859</v>
      </c>
      <c r="T41" s="2"/>
    </row>
    <row r="42" spans="1:20" x14ac:dyDescent="0.2">
      <c r="A42" s="103"/>
      <c r="B42" s="28" t="s">
        <v>145</v>
      </c>
      <c r="C42" s="22" t="s">
        <v>818</v>
      </c>
      <c r="D42" s="2" t="s">
        <v>818</v>
      </c>
      <c r="E42" s="5">
        <v>1120</v>
      </c>
      <c r="F42" s="2" t="b">
        <v>1</v>
      </c>
      <c r="G42" s="5">
        <v>182677</v>
      </c>
      <c r="H42" s="2" t="s">
        <v>818</v>
      </c>
      <c r="I42" s="5">
        <v>10447</v>
      </c>
      <c r="J42" s="2" t="b">
        <v>1</v>
      </c>
      <c r="K42" s="5">
        <v>8878</v>
      </c>
      <c r="L42" s="4" t="s">
        <v>833</v>
      </c>
      <c r="M42" s="5">
        <v>7293</v>
      </c>
      <c r="N42" s="2" t="s">
        <v>822</v>
      </c>
      <c r="O42" s="5">
        <v>291</v>
      </c>
      <c r="P42" s="2" t="s">
        <v>820</v>
      </c>
      <c r="Q42" s="5">
        <v>1361</v>
      </c>
      <c r="R42" s="2" t="s">
        <v>859</v>
      </c>
      <c r="T42" s="2"/>
    </row>
    <row r="43" spans="1:20" x14ac:dyDescent="0.2">
      <c r="A43" s="103"/>
      <c r="B43" s="28" t="s">
        <v>146</v>
      </c>
      <c r="C43" s="22" t="s">
        <v>818</v>
      </c>
      <c r="D43" s="2" t="s">
        <v>818</v>
      </c>
      <c r="E43" s="5">
        <v>2867</v>
      </c>
      <c r="F43" s="2" t="b">
        <v>1</v>
      </c>
      <c r="G43" s="5">
        <v>183317</v>
      </c>
      <c r="H43" s="2" t="s">
        <v>818</v>
      </c>
      <c r="I43" s="5">
        <v>11830</v>
      </c>
      <c r="J43" s="2" t="s">
        <v>833</v>
      </c>
      <c r="K43" s="5">
        <v>900278</v>
      </c>
      <c r="L43" s="4" t="s">
        <v>833</v>
      </c>
      <c r="M43" s="5">
        <v>9157</v>
      </c>
      <c r="N43" s="2" t="s">
        <v>822</v>
      </c>
      <c r="O43" s="5">
        <v>276</v>
      </c>
      <c r="P43" s="2" t="s">
        <v>820</v>
      </c>
      <c r="Q43" s="5">
        <v>1128</v>
      </c>
      <c r="R43" s="2" t="s">
        <v>859</v>
      </c>
      <c r="T43" s="2"/>
    </row>
    <row r="44" spans="1:20" x14ac:dyDescent="0.2">
      <c r="A44" s="103"/>
      <c r="B44" s="28" t="s">
        <v>147</v>
      </c>
      <c r="C44" s="22" t="s">
        <v>818</v>
      </c>
      <c r="D44" s="2" t="s">
        <v>818</v>
      </c>
      <c r="E44" s="5">
        <v>1539</v>
      </c>
      <c r="F44" s="2" t="b">
        <v>1</v>
      </c>
      <c r="G44" s="5">
        <v>183459</v>
      </c>
      <c r="H44" s="2" t="s">
        <v>818</v>
      </c>
      <c r="I44" s="5">
        <v>12338</v>
      </c>
      <c r="J44" s="2" t="s">
        <v>838</v>
      </c>
      <c r="K44" s="5">
        <v>11756</v>
      </c>
      <c r="L44" s="4" t="s">
        <v>833</v>
      </c>
      <c r="M44" s="5">
        <v>9127</v>
      </c>
      <c r="N44" s="2" t="s">
        <v>822</v>
      </c>
      <c r="O44" s="5">
        <v>291</v>
      </c>
      <c r="P44" s="2" t="s">
        <v>820</v>
      </c>
      <c r="Q44" s="5">
        <v>832</v>
      </c>
      <c r="R44" s="2" t="s">
        <v>859</v>
      </c>
      <c r="T44" s="2"/>
    </row>
    <row r="45" spans="1:20" x14ac:dyDescent="0.2">
      <c r="A45" s="103"/>
      <c r="B45" s="28" t="s">
        <v>148</v>
      </c>
      <c r="C45" s="22" t="s">
        <v>818</v>
      </c>
      <c r="D45" s="2" t="s">
        <v>818</v>
      </c>
      <c r="E45" s="5">
        <v>1348</v>
      </c>
      <c r="F45" s="2" t="b">
        <v>1</v>
      </c>
      <c r="G45" s="5">
        <v>99566</v>
      </c>
      <c r="H45" s="2" t="s">
        <v>818</v>
      </c>
      <c r="I45" s="5">
        <v>13585</v>
      </c>
      <c r="J45" s="2" t="s">
        <v>838</v>
      </c>
      <c r="K45" s="5">
        <v>17739</v>
      </c>
      <c r="L45" s="4" t="s">
        <v>833</v>
      </c>
      <c r="M45" s="5">
        <v>9594</v>
      </c>
      <c r="N45" s="2" t="s">
        <v>822</v>
      </c>
      <c r="O45" s="5">
        <v>296</v>
      </c>
      <c r="P45" s="2" t="s">
        <v>820</v>
      </c>
      <c r="Q45" s="5">
        <v>772</v>
      </c>
      <c r="R45" s="2" t="s">
        <v>859</v>
      </c>
      <c r="T45" s="2"/>
    </row>
    <row r="46" spans="1:20" x14ac:dyDescent="0.2">
      <c r="A46" s="103"/>
      <c r="B46" s="28" t="s">
        <v>149</v>
      </c>
      <c r="C46" s="22" t="s">
        <v>818</v>
      </c>
      <c r="D46" s="2" t="s">
        <v>837</v>
      </c>
      <c r="E46" s="5">
        <v>900350</v>
      </c>
      <c r="F46" s="2" t="b">
        <v>1</v>
      </c>
      <c r="G46" s="5">
        <v>76391</v>
      </c>
      <c r="H46" s="2" t="s">
        <v>818</v>
      </c>
      <c r="I46" s="5">
        <v>11651</v>
      </c>
      <c r="J46" s="2" t="b">
        <v>1</v>
      </c>
      <c r="K46" s="5">
        <v>7042</v>
      </c>
      <c r="L46" s="4" t="s">
        <v>833</v>
      </c>
      <c r="M46" s="5">
        <v>12357</v>
      </c>
      <c r="N46" s="2" t="s">
        <v>822</v>
      </c>
      <c r="O46" s="5">
        <v>271</v>
      </c>
      <c r="P46" s="2" t="s">
        <v>820</v>
      </c>
      <c r="Q46" s="5">
        <v>934</v>
      </c>
      <c r="R46" s="2" t="s">
        <v>859</v>
      </c>
      <c r="T46" s="2"/>
    </row>
    <row r="47" spans="1:20" x14ac:dyDescent="0.2">
      <c r="A47" s="103"/>
      <c r="B47" s="28" t="s">
        <v>150</v>
      </c>
      <c r="C47" s="22" t="s">
        <v>818</v>
      </c>
      <c r="D47" s="2" t="s">
        <v>818</v>
      </c>
      <c r="E47" s="5">
        <v>1614</v>
      </c>
      <c r="F47" s="2" t="b">
        <v>1</v>
      </c>
      <c r="G47" s="5">
        <v>183290</v>
      </c>
      <c r="H47" s="2" t="s">
        <v>818</v>
      </c>
      <c r="I47" s="5">
        <v>11535</v>
      </c>
      <c r="J47" s="2" t="s">
        <v>838</v>
      </c>
      <c r="K47" s="5">
        <v>48680</v>
      </c>
      <c r="L47" s="4" t="s">
        <v>833</v>
      </c>
      <c r="M47" s="5">
        <v>9147</v>
      </c>
      <c r="N47" s="2" t="s">
        <v>822</v>
      </c>
      <c r="O47" s="5">
        <v>264</v>
      </c>
      <c r="P47" s="2" t="s">
        <v>820</v>
      </c>
      <c r="Q47" s="5">
        <v>1060</v>
      </c>
      <c r="R47" s="2" t="s">
        <v>859</v>
      </c>
      <c r="T47" s="2"/>
    </row>
    <row r="48" spans="1:20" x14ac:dyDescent="0.2">
      <c r="A48" s="103"/>
      <c r="B48" s="28" t="s">
        <v>151</v>
      </c>
      <c r="C48" s="22" t="s">
        <v>818</v>
      </c>
      <c r="D48" s="2" t="s">
        <v>837</v>
      </c>
      <c r="E48" s="5">
        <v>900413</v>
      </c>
      <c r="F48" s="2" t="b">
        <v>1</v>
      </c>
      <c r="G48" s="5">
        <v>184266</v>
      </c>
      <c r="H48" s="2" t="s">
        <v>818</v>
      </c>
      <c r="I48" s="5">
        <v>6792</v>
      </c>
      <c r="J48" s="2" t="b">
        <v>1</v>
      </c>
      <c r="K48" s="5">
        <v>4747</v>
      </c>
      <c r="L48" s="4" t="s">
        <v>833</v>
      </c>
      <c r="M48" s="5">
        <v>8023</v>
      </c>
      <c r="N48" s="2" t="s">
        <v>822</v>
      </c>
      <c r="O48" s="5">
        <v>282</v>
      </c>
      <c r="P48" s="2" t="s">
        <v>820</v>
      </c>
      <c r="Q48" s="5">
        <v>839</v>
      </c>
      <c r="R48" s="2" t="s">
        <v>859</v>
      </c>
      <c r="T48" s="2"/>
    </row>
    <row r="49" spans="1:20" x14ac:dyDescent="0.2">
      <c r="A49" s="103"/>
      <c r="B49" s="28" t="s">
        <v>152</v>
      </c>
      <c r="C49" s="22" t="s">
        <v>818</v>
      </c>
      <c r="D49" s="2" t="s">
        <v>818</v>
      </c>
      <c r="E49" s="5">
        <v>844</v>
      </c>
      <c r="F49" s="2" t="s">
        <v>883</v>
      </c>
      <c r="G49" s="5">
        <v>302086</v>
      </c>
      <c r="H49" s="2" t="s">
        <v>818</v>
      </c>
      <c r="I49" s="5">
        <v>9446</v>
      </c>
      <c r="J49" s="2" t="b">
        <v>1</v>
      </c>
      <c r="K49" s="5">
        <v>6826</v>
      </c>
      <c r="L49" s="4" t="s">
        <v>833</v>
      </c>
      <c r="M49" s="5">
        <v>7044</v>
      </c>
      <c r="N49" s="2" t="s">
        <v>822</v>
      </c>
      <c r="O49" s="5">
        <v>270</v>
      </c>
      <c r="P49" s="2" t="s">
        <v>820</v>
      </c>
      <c r="Q49" s="5">
        <v>733</v>
      </c>
      <c r="R49" s="2" t="s">
        <v>859</v>
      </c>
      <c r="T49" s="2"/>
    </row>
    <row r="50" spans="1:20" x14ac:dyDescent="0.2">
      <c r="A50" s="103"/>
      <c r="B50" s="28" t="s">
        <v>153</v>
      </c>
      <c r="C50" s="22" t="s">
        <v>818</v>
      </c>
      <c r="D50" s="2" t="s">
        <v>818</v>
      </c>
      <c r="E50" s="5">
        <v>618</v>
      </c>
      <c r="F50" s="2" t="s">
        <v>883</v>
      </c>
      <c r="G50" s="5">
        <v>303697</v>
      </c>
      <c r="H50" s="2" t="s">
        <v>818</v>
      </c>
      <c r="I50" s="5">
        <v>11388</v>
      </c>
      <c r="J50" s="2" t="b">
        <v>1</v>
      </c>
      <c r="K50" s="5">
        <v>17138</v>
      </c>
      <c r="L50" s="4" t="s">
        <v>833</v>
      </c>
      <c r="M50" s="5">
        <v>7667</v>
      </c>
      <c r="N50" s="2" t="s">
        <v>822</v>
      </c>
      <c r="O50" s="5">
        <v>276</v>
      </c>
      <c r="P50" s="2" t="s">
        <v>820</v>
      </c>
      <c r="Q50" s="5">
        <v>806</v>
      </c>
      <c r="R50" s="2" t="s">
        <v>859</v>
      </c>
      <c r="T50" s="2"/>
    </row>
    <row r="51" spans="1:20" x14ac:dyDescent="0.2">
      <c r="A51" s="103"/>
      <c r="B51" s="28" t="s">
        <v>154</v>
      </c>
      <c r="C51" s="22" t="s">
        <v>818</v>
      </c>
      <c r="D51" s="2" t="s">
        <v>818</v>
      </c>
      <c r="E51" s="5">
        <v>745416</v>
      </c>
      <c r="F51" s="2" t="s">
        <v>883</v>
      </c>
      <c r="G51" s="5">
        <v>302080</v>
      </c>
      <c r="H51" s="64" t="s">
        <v>837</v>
      </c>
      <c r="I51" s="5">
        <v>900544</v>
      </c>
      <c r="J51" s="2" t="s">
        <v>838</v>
      </c>
      <c r="K51" s="5">
        <v>34929</v>
      </c>
      <c r="L51" s="4" t="s">
        <v>833</v>
      </c>
      <c r="M51" s="5">
        <v>7624</v>
      </c>
      <c r="N51" s="2" t="s">
        <v>822</v>
      </c>
      <c r="O51" s="5">
        <v>257</v>
      </c>
      <c r="P51" s="2" t="s">
        <v>820</v>
      </c>
      <c r="Q51" s="5">
        <v>766</v>
      </c>
      <c r="R51" s="2" t="s">
        <v>859</v>
      </c>
      <c r="T51" s="2"/>
    </row>
    <row r="52" spans="1:20" x14ac:dyDescent="0.2">
      <c r="A52" s="103"/>
      <c r="B52" s="28" t="s">
        <v>155</v>
      </c>
      <c r="C52" s="22" t="s">
        <v>818</v>
      </c>
      <c r="D52" s="2" t="s">
        <v>818</v>
      </c>
      <c r="E52" s="5">
        <v>1271</v>
      </c>
      <c r="F52" s="2" t="b">
        <v>1</v>
      </c>
      <c r="G52" s="5">
        <v>182785</v>
      </c>
      <c r="H52" s="2" t="s">
        <v>818</v>
      </c>
      <c r="I52" s="5">
        <v>192696</v>
      </c>
      <c r="J52" s="2" t="s">
        <v>833</v>
      </c>
      <c r="K52" s="5">
        <v>900310</v>
      </c>
      <c r="L52" s="4" t="s">
        <v>833</v>
      </c>
      <c r="M52" s="5">
        <v>8145</v>
      </c>
      <c r="N52" s="2" t="s">
        <v>822</v>
      </c>
      <c r="O52" s="5">
        <v>274</v>
      </c>
      <c r="P52" s="2" t="s">
        <v>838</v>
      </c>
      <c r="Q52" s="5">
        <v>466</v>
      </c>
      <c r="R52" s="2" t="s">
        <v>859</v>
      </c>
      <c r="T52" s="2"/>
    </row>
    <row r="53" spans="1:20" x14ac:dyDescent="0.2">
      <c r="A53" s="103"/>
      <c r="B53" s="28" t="s">
        <v>156</v>
      </c>
      <c r="C53" s="61" t="s">
        <v>818</v>
      </c>
      <c r="D53" s="2" t="s">
        <v>837</v>
      </c>
      <c r="E53" s="5">
        <v>900376</v>
      </c>
      <c r="F53" s="2" t="b">
        <v>1</v>
      </c>
      <c r="G53" s="5">
        <v>135736</v>
      </c>
      <c r="H53" s="2" t="s">
        <v>819</v>
      </c>
      <c r="I53" s="5">
        <v>5409</v>
      </c>
      <c r="J53" s="2" t="b">
        <v>1</v>
      </c>
      <c r="K53" s="5">
        <v>4374</v>
      </c>
      <c r="L53" s="4" t="s">
        <v>833</v>
      </c>
      <c r="M53" s="5">
        <v>8480</v>
      </c>
      <c r="N53" s="2" t="s">
        <v>822</v>
      </c>
      <c r="O53" s="5">
        <v>277</v>
      </c>
      <c r="P53" s="2" t="s">
        <v>820</v>
      </c>
      <c r="Q53" s="5">
        <v>826</v>
      </c>
      <c r="R53" s="2" t="s">
        <v>859</v>
      </c>
      <c r="T53" s="2"/>
    </row>
    <row r="54" spans="1:20" x14ac:dyDescent="0.2">
      <c r="A54" s="103"/>
      <c r="B54" s="28" t="s">
        <v>157</v>
      </c>
      <c r="C54" s="22" t="s">
        <v>818</v>
      </c>
      <c r="D54" s="2" t="s">
        <v>837</v>
      </c>
      <c r="E54" s="5">
        <v>900396</v>
      </c>
      <c r="F54" s="2" t="b">
        <v>1</v>
      </c>
      <c r="G54" s="5">
        <v>38135</v>
      </c>
      <c r="H54" s="2" t="s">
        <v>818</v>
      </c>
      <c r="I54" s="5">
        <v>7683</v>
      </c>
      <c r="J54" s="2" t="b">
        <v>1</v>
      </c>
      <c r="K54" s="5">
        <v>3840</v>
      </c>
      <c r="L54" s="4" t="s">
        <v>833</v>
      </c>
      <c r="M54" s="5">
        <v>6533</v>
      </c>
      <c r="N54" s="2" t="s">
        <v>822</v>
      </c>
      <c r="O54" s="5">
        <v>261</v>
      </c>
      <c r="P54" s="2" t="s">
        <v>820</v>
      </c>
      <c r="Q54" s="5">
        <v>771</v>
      </c>
      <c r="R54" s="2" t="s">
        <v>859</v>
      </c>
      <c r="T54" s="2"/>
    </row>
    <row r="55" spans="1:20" x14ac:dyDescent="0.2">
      <c r="A55" s="103"/>
      <c r="B55" s="28" t="s">
        <v>158</v>
      </c>
      <c r="C55" s="22" t="s">
        <v>818</v>
      </c>
      <c r="D55" s="2" t="s">
        <v>837</v>
      </c>
      <c r="E55" s="5">
        <v>900488</v>
      </c>
      <c r="F55" s="2" t="b">
        <v>1</v>
      </c>
      <c r="G55" s="5">
        <v>43427</v>
      </c>
      <c r="H55" s="2" t="s">
        <v>818</v>
      </c>
      <c r="I55" s="5">
        <v>10123</v>
      </c>
      <c r="J55" s="2" t="b">
        <v>1</v>
      </c>
      <c r="K55" s="5">
        <v>4137</v>
      </c>
      <c r="L55" s="4" t="s">
        <v>833</v>
      </c>
      <c r="M55" s="5">
        <v>7437</v>
      </c>
      <c r="N55" s="2" t="s">
        <v>822</v>
      </c>
      <c r="O55" s="5">
        <v>279</v>
      </c>
      <c r="P55" s="2" t="s">
        <v>820</v>
      </c>
      <c r="Q55" s="5">
        <v>853</v>
      </c>
      <c r="R55" s="2" t="s">
        <v>859</v>
      </c>
      <c r="T55" s="2"/>
    </row>
    <row r="56" spans="1:20" x14ac:dyDescent="0.2">
      <c r="A56" s="103"/>
      <c r="B56" s="28" t="s">
        <v>159</v>
      </c>
      <c r="C56" s="22" t="s">
        <v>818</v>
      </c>
      <c r="D56" s="2" t="s">
        <v>837</v>
      </c>
      <c r="E56" s="5">
        <v>900415</v>
      </c>
      <c r="F56" s="2" t="b">
        <v>1</v>
      </c>
      <c r="G56" s="5">
        <v>88541</v>
      </c>
      <c r="H56" s="2" t="s">
        <v>818</v>
      </c>
      <c r="I56" s="5">
        <v>45994</v>
      </c>
      <c r="J56" s="2" t="b">
        <v>1</v>
      </c>
      <c r="K56" s="5">
        <v>4031</v>
      </c>
      <c r="L56" s="4" t="s">
        <v>833</v>
      </c>
      <c r="M56" s="5">
        <v>7379</v>
      </c>
      <c r="N56" s="2" t="s">
        <v>822</v>
      </c>
      <c r="O56" s="5">
        <v>272</v>
      </c>
      <c r="P56" s="2" t="s">
        <v>820</v>
      </c>
      <c r="Q56" s="5">
        <v>1071</v>
      </c>
      <c r="R56" s="2" t="s">
        <v>859</v>
      </c>
      <c r="T56" s="2"/>
    </row>
    <row r="57" spans="1:20" x14ac:dyDescent="0.2">
      <c r="A57" s="103"/>
      <c r="B57" s="28" t="s">
        <v>160</v>
      </c>
      <c r="C57" s="22" t="s">
        <v>818</v>
      </c>
      <c r="D57" s="2" t="s">
        <v>837</v>
      </c>
      <c r="E57" s="5">
        <v>900723</v>
      </c>
      <c r="F57" s="2" t="b">
        <v>1</v>
      </c>
      <c r="G57" s="5">
        <v>183443</v>
      </c>
      <c r="H57" s="2" t="s">
        <v>818</v>
      </c>
      <c r="I57" s="5">
        <v>38845</v>
      </c>
      <c r="J57" s="2" t="b">
        <v>1</v>
      </c>
      <c r="K57" s="5">
        <v>10260</v>
      </c>
      <c r="L57" s="4" t="s">
        <v>833</v>
      </c>
      <c r="M57" s="5">
        <v>8533</v>
      </c>
      <c r="N57" s="2" t="s">
        <v>822</v>
      </c>
      <c r="O57" s="5">
        <v>271</v>
      </c>
      <c r="P57" s="2" t="s">
        <v>820</v>
      </c>
      <c r="Q57" s="5">
        <v>1458</v>
      </c>
      <c r="R57" s="2" t="s">
        <v>859</v>
      </c>
      <c r="T57" s="2"/>
    </row>
    <row r="58" spans="1:20" x14ac:dyDescent="0.2">
      <c r="A58" s="103"/>
      <c r="B58" s="28" t="s">
        <v>161</v>
      </c>
      <c r="C58" s="22" t="s">
        <v>818</v>
      </c>
      <c r="D58" s="2" t="s">
        <v>837</v>
      </c>
      <c r="E58" s="5">
        <v>900839</v>
      </c>
      <c r="F58" s="2" t="b">
        <v>1</v>
      </c>
      <c r="G58" s="5">
        <v>49233</v>
      </c>
      <c r="H58" s="2" t="s">
        <v>818</v>
      </c>
      <c r="I58" s="5">
        <v>6506</v>
      </c>
      <c r="J58" s="2" t="b">
        <v>1</v>
      </c>
      <c r="K58" s="5">
        <v>3333</v>
      </c>
      <c r="L58" s="4" t="s">
        <v>833</v>
      </c>
      <c r="M58" s="5">
        <v>6413</v>
      </c>
      <c r="N58" s="2" t="s">
        <v>822</v>
      </c>
      <c r="O58" s="5">
        <v>262</v>
      </c>
      <c r="P58" s="2" t="s">
        <v>820</v>
      </c>
      <c r="Q58" s="5">
        <v>967</v>
      </c>
      <c r="R58" s="2" t="s">
        <v>859</v>
      </c>
      <c r="T58" s="2"/>
    </row>
    <row r="59" spans="1:20" x14ac:dyDescent="0.2">
      <c r="A59" s="103"/>
      <c r="B59" s="48" t="s">
        <v>162</v>
      </c>
      <c r="C59" s="61" t="s">
        <v>818</v>
      </c>
      <c r="D59" s="2" t="s">
        <v>838</v>
      </c>
      <c r="E59" s="5">
        <v>386</v>
      </c>
      <c r="F59" s="2" t="b">
        <v>1</v>
      </c>
      <c r="G59" s="5">
        <v>183581</v>
      </c>
      <c r="H59" s="2" t="s">
        <v>819</v>
      </c>
      <c r="I59" s="5">
        <v>5009</v>
      </c>
      <c r="J59" s="2" t="b">
        <v>1</v>
      </c>
      <c r="K59" s="5">
        <v>3886</v>
      </c>
      <c r="L59" s="4" t="s">
        <v>833</v>
      </c>
      <c r="M59" s="5">
        <v>8460</v>
      </c>
      <c r="N59" s="2" t="s">
        <v>822</v>
      </c>
      <c r="O59" s="5">
        <v>274</v>
      </c>
      <c r="P59" s="2" t="s">
        <v>838</v>
      </c>
      <c r="Q59" s="5">
        <v>515</v>
      </c>
      <c r="R59" s="2" t="s">
        <v>859</v>
      </c>
      <c r="T59" s="2" t="s">
        <v>811</v>
      </c>
    </row>
    <row r="60" spans="1:20" x14ac:dyDescent="0.2">
      <c r="A60" s="103"/>
      <c r="B60" s="28" t="s">
        <v>163</v>
      </c>
      <c r="C60" s="22" t="s">
        <v>818</v>
      </c>
      <c r="D60" s="2" t="s">
        <v>818</v>
      </c>
      <c r="E60" s="5">
        <v>574</v>
      </c>
      <c r="F60" s="2" t="b">
        <v>1</v>
      </c>
      <c r="G60" s="5">
        <v>182799</v>
      </c>
      <c r="H60" s="2" t="s">
        <v>818</v>
      </c>
      <c r="I60" s="5">
        <v>12630</v>
      </c>
      <c r="J60" s="2" t="b">
        <v>1</v>
      </c>
      <c r="K60" s="5">
        <v>4145</v>
      </c>
      <c r="L60" s="4" t="s">
        <v>833</v>
      </c>
      <c r="M60" s="5">
        <v>7902</v>
      </c>
      <c r="N60" s="2" t="s">
        <v>822</v>
      </c>
      <c r="O60" s="5">
        <v>246</v>
      </c>
      <c r="P60" s="2" t="s">
        <v>818</v>
      </c>
      <c r="Q60" s="5">
        <v>938</v>
      </c>
      <c r="R60" s="2" t="s">
        <v>859</v>
      </c>
      <c r="T60" s="2"/>
    </row>
    <row r="61" spans="1:20" x14ac:dyDescent="0.2">
      <c r="A61" s="103"/>
      <c r="B61" s="28" t="s">
        <v>164</v>
      </c>
      <c r="C61" s="22" t="s">
        <v>818</v>
      </c>
      <c r="D61" s="2" t="s">
        <v>818</v>
      </c>
      <c r="E61" s="5">
        <v>570</v>
      </c>
      <c r="F61" s="2" t="b">
        <v>1</v>
      </c>
      <c r="G61" s="5">
        <v>183583</v>
      </c>
      <c r="H61" s="2" t="s">
        <v>818</v>
      </c>
      <c r="I61" s="5">
        <v>25617</v>
      </c>
      <c r="J61" s="2" t="b">
        <v>1</v>
      </c>
      <c r="K61" s="5">
        <v>6296</v>
      </c>
      <c r="L61" s="4" t="s">
        <v>833</v>
      </c>
      <c r="M61" s="5">
        <v>8606</v>
      </c>
      <c r="N61" s="2" t="s">
        <v>822</v>
      </c>
      <c r="O61" s="5">
        <v>256</v>
      </c>
      <c r="P61" s="2" t="s">
        <v>818</v>
      </c>
      <c r="Q61" s="5">
        <v>973</v>
      </c>
      <c r="R61" s="2" t="s">
        <v>859</v>
      </c>
      <c r="T61" s="2"/>
    </row>
    <row r="62" spans="1:20" x14ac:dyDescent="0.2">
      <c r="A62" s="103"/>
      <c r="B62" s="28" t="s">
        <v>165</v>
      </c>
      <c r="C62" s="22" t="s">
        <v>818</v>
      </c>
      <c r="D62" s="2" t="s">
        <v>837</v>
      </c>
      <c r="E62" s="5">
        <v>900408</v>
      </c>
      <c r="F62" s="2" t="b">
        <v>1</v>
      </c>
      <c r="G62" s="5">
        <v>183319</v>
      </c>
      <c r="H62" s="2" t="s">
        <v>818</v>
      </c>
      <c r="I62" s="5">
        <v>24517</v>
      </c>
      <c r="J62" s="2" t="b">
        <v>1</v>
      </c>
      <c r="K62" s="5">
        <v>9519</v>
      </c>
      <c r="L62" s="4" t="s">
        <v>833</v>
      </c>
      <c r="M62" s="5">
        <v>8434</v>
      </c>
      <c r="N62" s="2" t="s">
        <v>822</v>
      </c>
      <c r="O62" s="5">
        <v>268</v>
      </c>
      <c r="P62" s="2" t="s">
        <v>820</v>
      </c>
      <c r="Q62" s="5">
        <v>1018</v>
      </c>
      <c r="R62" s="2" t="s">
        <v>859</v>
      </c>
      <c r="T62" s="2"/>
    </row>
    <row r="63" spans="1:20" x14ac:dyDescent="0.2">
      <c r="A63" s="103"/>
      <c r="B63" s="28" t="s">
        <v>166</v>
      </c>
      <c r="C63" s="22" t="s">
        <v>818</v>
      </c>
      <c r="D63" s="2" t="s">
        <v>837</v>
      </c>
      <c r="E63" s="5">
        <v>900478</v>
      </c>
      <c r="F63" s="2" t="b">
        <v>1</v>
      </c>
      <c r="G63" s="5">
        <v>183176</v>
      </c>
      <c r="H63" s="2" t="s">
        <v>818</v>
      </c>
      <c r="I63" s="5">
        <v>25130</v>
      </c>
      <c r="J63" s="2" t="b">
        <v>1</v>
      </c>
      <c r="K63" s="5">
        <v>9587</v>
      </c>
      <c r="L63" s="4" t="s">
        <v>833</v>
      </c>
      <c r="M63" s="5">
        <v>8468</v>
      </c>
      <c r="N63" s="2" t="s">
        <v>822</v>
      </c>
      <c r="O63" s="5">
        <v>278</v>
      </c>
      <c r="P63" s="2" t="s">
        <v>820</v>
      </c>
      <c r="Q63" s="5">
        <v>1134</v>
      </c>
      <c r="R63" s="2" t="s">
        <v>859</v>
      </c>
      <c r="T63" s="2"/>
    </row>
    <row r="64" spans="1:20" x14ac:dyDescent="0.2">
      <c r="A64" s="103"/>
      <c r="B64" s="28" t="s">
        <v>167</v>
      </c>
      <c r="C64" s="22" t="s">
        <v>818</v>
      </c>
      <c r="D64" s="2" t="s">
        <v>818</v>
      </c>
      <c r="E64" s="5">
        <v>97235</v>
      </c>
      <c r="F64" s="2" t="b">
        <v>1</v>
      </c>
      <c r="G64" s="5">
        <v>182870</v>
      </c>
      <c r="H64" s="2" t="s">
        <v>819</v>
      </c>
      <c r="I64" s="5">
        <v>25045</v>
      </c>
      <c r="J64" s="2" t="b">
        <v>1</v>
      </c>
      <c r="K64" s="5">
        <v>14702</v>
      </c>
      <c r="L64" s="4" t="s">
        <v>833</v>
      </c>
      <c r="M64" s="5">
        <v>9611</v>
      </c>
      <c r="N64" s="2" t="s">
        <v>822</v>
      </c>
      <c r="O64" s="5">
        <v>273</v>
      </c>
      <c r="P64" s="2" t="s">
        <v>838</v>
      </c>
      <c r="Q64" s="5">
        <v>1471</v>
      </c>
      <c r="R64" s="2" t="s">
        <v>859</v>
      </c>
      <c r="T64" s="2"/>
    </row>
    <row r="65" spans="1:20" x14ac:dyDescent="0.2">
      <c r="A65" s="103"/>
      <c r="B65" s="28" t="s">
        <v>168</v>
      </c>
      <c r="C65" s="22" t="s">
        <v>818</v>
      </c>
      <c r="D65" s="2" t="s">
        <v>818</v>
      </c>
      <c r="E65" s="5">
        <v>610</v>
      </c>
      <c r="F65" s="2" t="b">
        <v>1</v>
      </c>
      <c r="G65" s="5">
        <v>48569</v>
      </c>
      <c r="H65" s="2" t="s">
        <v>818</v>
      </c>
      <c r="I65" s="5">
        <v>26407</v>
      </c>
      <c r="J65" s="2" t="b">
        <v>1</v>
      </c>
      <c r="K65" s="5">
        <v>4041</v>
      </c>
      <c r="L65" s="4" t="s">
        <v>833</v>
      </c>
      <c r="M65" s="5">
        <v>8173</v>
      </c>
      <c r="N65" s="2" t="s">
        <v>822</v>
      </c>
      <c r="O65" s="5">
        <v>279</v>
      </c>
      <c r="P65" s="2" t="s">
        <v>820</v>
      </c>
      <c r="Q65" s="5">
        <v>802</v>
      </c>
      <c r="R65" s="2" t="s">
        <v>859</v>
      </c>
      <c r="T65" s="2"/>
    </row>
    <row r="66" spans="1:20" x14ac:dyDescent="0.2">
      <c r="A66" s="103"/>
      <c r="B66" s="28" t="s">
        <v>169</v>
      </c>
      <c r="C66" s="22" t="s">
        <v>818</v>
      </c>
      <c r="D66" s="2" t="s">
        <v>818</v>
      </c>
      <c r="E66" s="5">
        <v>411</v>
      </c>
      <c r="F66" s="2" t="b">
        <v>1</v>
      </c>
      <c r="G66" s="5">
        <v>182638</v>
      </c>
      <c r="H66" s="2" t="s">
        <v>838</v>
      </c>
      <c r="I66" s="5">
        <v>6076</v>
      </c>
      <c r="J66" s="2" t="b">
        <v>1</v>
      </c>
      <c r="K66" s="5">
        <v>4650</v>
      </c>
      <c r="L66" s="4" t="s">
        <v>833</v>
      </c>
      <c r="M66" s="5">
        <v>8224</v>
      </c>
      <c r="N66" s="2" t="s">
        <v>822</v>
      </c>
      <c r="O66" s="5">
        <v>253</v>
      </c>
      <c r="P66" s="2" t="s">
        <v>820</v>
      </c>
      <c r="Q66" s="5">
        <v>793</v>
      </c>
      <c r="R66" s="2" t="s">
        <v>859</v>
      </c>
      <c r="T66" s="2"/>
    </row>
    <row r="67" spans="1:20" x14ac:dyDescent="0.2">
      <c r="A67" s="103"/>
      <c r="B67" s="28" t="s">
        <v>170</v>
      </c>
      <c r="C67" s="61" t="s">
        <v>818</v>
      </c>
      <c r="D67" s="2" t="s">
        <v>818</v>
      </c>
      <c r="E67" s="5">
        <v>19914</v>
      </c>
      <c r="F67" s="2" t="b">
        <v>1</v>
      </c>
      <c r="G67" s="5">
        <v>113291</v>
      </c>
      <c r="H67" s="64" t="s">
        <v>837</v>
      </c>
      <c r="I67" s="5">
        <v>910029</v>
      </c>
      <c r="J67" s="2" t="s">
        <v>833</v>
      </c>
      <c r="K67" s="5">
        <v>49711</v>
      </c>
      <c r="L67" s="4" t="s">
        <v>833</v>
      </c>
      <c r="M67" s="5">
        <v>12575</v>
      </c>
      <c r="N67" s="2" t="s">
        <v>822</v>
      </c>
      <c r="O67" s="5">
        <v>253</v>
      </c>
      <c r="P67" s="2" t="s">
        <v>820</v>
      </c>
      <c r="Q67" s="5">
        <v>663</v>
      </c>
      <c r="R67" s="2" t="s">
        <v>859</v>
      </c>
      <c r="T67" s="2"/>
    </row>
    <row r="68" spans="1:20" x14ac:dyDescent="0.2">
      <c r="A68" s="103"/>
      <c r="B68" s="28" t="s">
        <v>171</v>
      </c>
      <c r="C68" s="22" t="s">
        <v>818</v>
      </c>
      <c r="D68" s="2" t="s">
        <v>818</v>
      </c>
      <c r="E68" s="5">
        <v>585</v>
      </c>
      <c r="F68" s="2" t="b">
        <v>1</v>
      </c>
      <c r="G68" s="5">
        <v>184994</v>
      </c>
      <c r="H68" s="2" t="s">
        <v>818</v>
      </c>
      <c r="I68" s="5">
        <v>6808</v>
      </c>
      <c r="J68" s="2" t="s">
        <v>833</v>
      </c>
      <c r="K68" s="5">
        <v>19016</v>
      </c>
      <c r="L68" s="4" t="s">
        <v>833</v>
      </c>
      <c r="M68" s="5">
        <v>7280</v>
      </c>
      <c r="N68" s="2" t="s">
        <v>822</v>
      </c>
      <c r="O68" s="5">
        <v>268</v>
      </c>
      <c r="P68" s="2" t="s">
        <v>820</v>
      </c>
      <c r="Q68" s="5">
        <v>743</v>
      </c>
      <c r="R68" s="2" t="s">
        <v>859</v>
      </c>
      <c r="T68" s="2"/>
    </row>
    <row r="69" spans="1:20" x14ac:dyDescent="0.2">
      <c r="A69" s="103"/>
      <c r="B69" s="28" t="s">
        <v>172</v>
      </c>
      <c r="C69" s="22" t="s">
        <v>818</v>
      </c>
      <c r="D69" s="2" t="s">
        <v>818</v>
      </c>
      <c r="E69" s="5">
        <v>441</v>
      </c>
      <c r="F69" s="2" t="b">
        <v>1</v>
      </c>
      <c r="G69" s="5">
        <v>185033</v>
      </c>
      <c r="H69" s="2" t="s">
        <v>818</v>
      </c>
      <c r="I69" s="5">
        <v>7783</v>
      </c>
      <c r="J69" s="2" t="s">
        <v>833</v>
      </c>
      <c r="K69" s="5">
        <v>74665</v>
      </c>
      <c r="L69" s="4" t="s">
        <v>833</v>
      </c>
      <c r="M69" s="5">
        <v>8214</v>
      </c>
      <c r="N69" s="2" t="s">
        <v>822</v>
      </c>
      <c r="O69" s="5">
        <v>254</v>
      </c>
      <c r="P69" s="2" t="s">
        <v>820</v>
      </c>
      <c r="Q69" s="5">
        <v>862</v>
      </c>
      <c r="R69" s="2" t="s">
        <v>859</v>
      </c>
      <c r="T69" s="2"/>
    </row>
    <row r="70" spans="1:20" x14ac:dyDescent="0.2">
      <c r="A70" s="103"/>
      <c r="B70" s="28" t="s">
        <v>173</v>
      </c>
      <c r="C70" s="22" t="s">
        <v>818</v>
      </c>
      <c r="D70" s="2" t="s">
        <v>837</v>
      </c>
      <c r="E70" s="5">
        <v>900360</v>
      </c>
      <c r="F70" s="2" t="s">
        <v>883</v>
      </c>
      <c r="G70" s="5">
        <v>133110</v>
      </c>
      <c r="H70" s="2" t="s">
        <v>818</v>
      </c>
      <c r="I70" s="5">
        <v>49177</v>
      </c>
      <c r="J70" s="2" t="s">
        <v>833</v>
      </c>
      <c r="K70" s="5">
        <v>900307</v>
      </c>
      <c r="L70" s="4" t="s">
        <v>833</v>
      </c>
      <c r="M70" s="5">
        <v>901152</v>
      </c>
      <c r="N70" s="2" t="s">
        <v>822</v>
      </c>
      <c r="O70" s="5">
        <v>267</v>
      </c>
      <c r="P70" s="2" t="s">
        <v>820</v>
      </c>
      <c r="Q70" s="5">
        <v>1102</v>
      </c>
      <c r="R70" s="2" t="s">
        <v>859</v>
      </c>
      <c r="T70" s="2"/>
    </row>
    <row r="71" spans="1:20" x14ac:dyDescent="0.2">
      <c r="A71" s="103"/>
      <c r="B71" s="28" t="s">
        <v>174</v>
      </c>
      <c r="C71" s="22" t="s">
        <v>818</v>
      </c>
      <c r="D71" s="2" t="s">
        <v>818</v>
      </c>
      <c r="E71" s="5">
        <v>2125</v>
      </c>
      <c r="F71" s="2" t="b">
        <v>1</v>
      </c>
      <c r="G71" s="5">
        <v>3758</v>
      </c>
      <c r="H71" s="2" t="s">
        <v>818</v>
      </c>
      <c r="I71" s="5">
        <v>8480</v>
      </c>
      <c r="J71" s="2" t="b">
        <v>1</v>
      </c>
      <c r="K71" s="5">
        <v>7526</v>
      </c>
      <c r="L71" s="4" t="s">
        <v>833</v>
      </c>
      <c r="M71" s="5">
        <v>9604</v>
      </c>
      <c r="N71" s="2" t="s">
        <v>822</v>
      </c>
      <c r="O71" s="5">
        <v>266</v>
      </c>
      <c r="P71" s="2" t="s">
        <v>820</v>
      </c>
      <c r="Q71" s="5">
        <v>946</v>
      </c>
      <c r="R71" s="2" t="s">
        <v>859</v>
      </c>
      <c r="T71" s="2"/>
    </row>
    <row r="72" spans="1:20" x14ac:dyDescent="0.2">
      <c r="A72" s="103"/>
      <c r="B72" s="28" t="s">
        <v>175</v>
      </c>
      <c r="C72" s="22" t="s">
        <v>818</v>
      </c>
      <c r="D72" s="2" t="s">
        <v>818</v>
      </c>
      <c r="E72" s="5">
        <v>8364</v>
      </c>
      <c r="F72" s="2" t="b">
        <v>1</v>
      </c>
      <c r="G72" s="5">
        <v>182995</v>
      </c>
      <c r="H72" s="2" t="s">
        <v>818</v>
      </c>
      <c r="I72" s="5">
        <v>88725</v>
      </c>
      <c r="J72" s="2" t="b">
        <v>1</v>
      </c>
      <c r="K72" s="5">
        <v>12402</v>
      </c>
      <c r="L72" s="4" t="s">
        <v>833</v>
      </c>
      <c r="M72" s="5">
        <v>9394</v>
      </c>
      <c r="N72" s="2" t="s">
        <v>822</v>
      </c>
      <c r="O72" s="5">
        <v>251</v>
      </c>
      <c r="P72" s="2" t="s">
        <v>820</v>
      </c>
      <c r="Q72" s="5">
        <v>863</v>
      </c>
      <c r="R72" s="2" t="s">
        <v>859</v>
      </c>
      <c r="T72" s="2"/>
    </row>
    <row r="73" spans="1:20" x14ac:dyDescent="0.2">
      <c r="A73" s="103"/>
      <c r="B73" s="28" t="s">
        <v>176</v>
      </c>
      <c r="C73" s="22" t="s">
        <v>818</v>
      </c>
      <c r="D73" s="2" t="s">
        <v>818</v>
      </c>
      <c r="E73" s="5">
        <v>1722</v>
      </c>
      <c r="F73" s="2" t="b">
        <v>1</v>
      </c>
      <c r="G73" s="5">
        <v>16318</v>
      </c>
      <c r="H73" s="2" t="s">
        <v>818</v>
      </c>
      <c r="I73" s="5">
        <v>9562</v>
      </c>
      <c r="J73" s="2" t="b">
        <v>1</v>
      </c>
      <c r="K73" s="5">
        <v>3618</v>
      </c>
      <c r="L73" s="4" t="s">
        <v>833</v>
      </c>
      <c r="M73" s="5">
        <v>7017</v>
      </c>
      <c r="N73" s="2" t="s">
        <v>822</v>
      </c>
      <c r="O73" s="5">
        <v>275</v>
      </c>
      <c r="P73" s="2" t="s">
        <v>820</v>
      </c>
      <c r="Q73" s="5">
        <v>776</v>
      </c>
      <c r="R73" s="2" t="s">
        <v>859</v>
      </c>
      <c r="T73" s="2"/>
    </row>
    <row r="74" spans="1:20" x14ac:dyDescent="0.2">
      <c r="A74" s="103"/>
      <c r="B74" s="28" t="s">
        <v>177</v>
      </c>
      <c r="C74" s="22" t="s">
        <v>818</v>
      </c>
      <c r="D74" s="2" t="s">
        <v>837</v>
      </c>
      <c r="E74" s="5">
        <v>901154</v>
      </c>
      <c r="F74" s="2" t="b">
        <v>1</v>
      </c>
      <c r="G74" s="5">
        <v>182541</v>
      </c>
      <c r="H74" s="2" t="s">
        <v>818</v>
      </c>
      <c r="I74" s="5">
        <v>7997</v>
      </c>
      <c r="J74" s="2" t="s">
        <v>833</v>
      </c>
      <c r="K74" s="5">
        <v>900339</v>
      </c>
      <c r="L74" s="4" t="s">
        <v>833</v>
      </c>
      <c r="M74" s="5">
        <v>8177</v>
      </c>
      <c r="N74" s="2" t="s">
        <v>822</v>
      </c>
      <c r="O74" s="5">
        <v>270</v>
      </c>
      <c r="P74" s="2" t="s">
        <v>820</v>
      </c>
      <c r="Q74" s="5">
        <v>1020</v>
      </c>
      <c r="R74" s="2" t="s">
        <v>859</v>
      </c>
      <c r="T74" s="2"/>
    </row>
    <row r="75" spans="1:20" x14ac:dyDescent="0.2">
      <c r="A75" s="103"/>
      <c r="B75" s="28" t="s">
        <v>178</v>
      </c>
      <c r="C75" s="22" t="s">
        <v>818</v>
      </c>
      <c r="D75" s="2" t="s">
        <v>818</v>
      </c>
      <c r="E75" s="5">
        <v>5978</v>
      </c>
      <c r="F75" s="2" t="b">
        <v>1</v>
      </c>
      <c r="G75" s="5">
        <v>2251</v>
      </c>
      <c r="H75" s="2" t="s">
        <v>818</v>
      </c>
      <c r="I75" s="5">
        <v>4304</v>
      </c>
      <c r="J75" s="2" t="s">
        <v>833</v>
      </c>
      <c r="K75" s="5">
        <v>900312</v>
      </c>
      <c r="L75" s="4" t="s">
        <v>833</v>
      </c>
      <c r="M75" s="5">
        <v>5418</v>
      </c>
      <c r="N75" s="2" t="s">
        <v>822</v>
      </c>
      <c r="O75" s="5">
        <v>268</v>
      </c>
      <c r="P75" s="2" t="s">
        <v>820</v>
      </c>
      <c r="Q75" s="5">
        <v>1238</v>
      </c>
      <c r="R75" s="2" t="s">
        <v>859</v>
      </c>
      <c r="T75" s="2"/>
    </row>
    <row r="76" spans="1:20" x14ac:dyDescent="0.2">
      <c r="A76" s="103"/>
      <c r="B76" s="28" t="s">
        <v>179</v>
      </c>
      <c r="C76" s="22" t="s">
        <v>820</v>
      </c>
      <c r="D76" s="2" t="s">
        <v>820</v>
      </c>
      <c r="E76" s="5">
        <v>10971</v>
      </c>
      <c r="F76" s="2" t="b">
        <v>0</v>
      </c>
      <c r="G76" s="5">
        <v>2196</v>
      </c>
      <c r="H76" s="76" t="s">
        <v>820</v>
      </c>
      <c r="I76" s="5">
        <v>910040</v>
      </c>
      <c r="J76" s="2" t="b">
        <v>0</v>
      </c>
      <c r="K76" s="5">
        <v>4239</v>
      </c>
      <c r="L76" s="4" t="s">
        <v>833</v>
      </c>
      <c r="M76" s="5">
        <v>7532</v>
      </c>
      <c r="N76" s="2" t="s">
        <v>822</v>
      </c>
      <c r="O76" s="5">
        <v>273</v>
      </c>
      <c r="P76" s="2" t="s">
        <v>838</v>
      </c>
      <c r="Q76" s="5">
        <v>62474</v>
      </c>
      <c r="R76" s="2" t="s">
        <v>859</v>
      </c>
      <c r="S76" s="85"/>
      <c r="T76" s="2"/>
    </row>
    <row r="77" spans="1:20" x14ac:dyDescent="0.2">
      <c r="A77" s="103"/>
      <c r="B77" s="28" t="s">
        <v>180</v>
      </c>
      <c r="C77" s="22" t="s">
        <v>818</v>
      </c>
      <c r="D77" s="2" t="s">
        <v>818</v>
      </c>
      <c r="E77" s="5">
        <v>494</v>
      </c>
      <c r="F77" s="2" t="b">
        <v>1</v>
      </c>
      <c r="G77" s="5">
        <v>2547</v>
      </c>
      <c r="H77" s="2" t="s">
        <v>818</v>
      </c>
      <c r="I77" s="5">
        <v>8361</v>
      </c>
      <c r="J77" s="2" t="b">
        <v>1</v>
      </c>
      <c r="K77" s="5">
        <v>3738</v>
      </c>
      <c r="L77" s="4" t="s">
        <v>833</v>
      </c>
      <c r="M77" s="5">
        <v>6296</v>
      </c>
      <c r="N77" s="2" t="s">
        <v>822</v>
      </c>
      <c r="O77" s="5">
        <v>270</v>
      </c>
      <c r="P77" s="2" t="s">
        <v>820</v>
      </c>
      <c r="Q77" s="5">
        <v>1336</v>
      </c>
      <c r="R77" s="2" t="s">
        <v>859</v>
      </c>
      <c r="T77" s="2"/>
    </row>
    <row r="78" spans="1:20" x14ac:dyDescent="0.2">
      <c r="A78" s="103"/>
      <c r="B78" s="28" t="s">
        <v>181</v>
      </c>
      <c r="C78" s="22" t="s">
        <v>818</v>
      </c>
      <c r="D78" s="2" t="s">
        <v>818</v>
      </c>
      <c r="E78" s="5">
        <v>2803</v>
      </c>
      <c r="F78" s="2" t="b">
        <v>1</v>
      </c>
      <c r="G78" s="5">
        <v>1670</v>
      </c>
      <c r="H78" s="2" t="s">
        <v>818</v>
      </c>
      <c r="I78" s="5">
        <v>45885</v>
      </c>
      <c r="J78" s="2" t="b">
        <v>1</v>
      </c>
      <c r="K78" s="5">
        <v>6649</v>
      </c>
      <c r="L78" s="4" t="s">
        <v>833</v>
      </c>
      <c r="M78" s="5">
        <v>6903</v>
      </c>
      <c r="N78" s="2" t="s">
        <v>822</v>
      </c>
      <c r="O78" s="5">
        <v>268</v>
      </c>
      <c r="P78" s="2" t="s">
        <v>818</v>
      </c>
      <c r="Q78" s="5">
        <v>42041</v>
      </c>
      <c r="R78" s="2" t="s">
        <v>859</v>
      </c>
      <c r="T78" s="2"/>
    </row>
    <row r="79" spans="1:20" x14ac:dyDescent="0.2">
      <c r="A79" s="103"/>
      <c r="B79" s="28" t="s">
        <v>182</v>
      </c>
      <c r="C79" s="22" t="s">
        <v>818</v>
      </c>
      <c r="D79" s="2" t="s">
        <v>818</v>
      </c>
      <c r="E79" s="5">
        <v>451</v>
      </c>
      <c r="F79" s="2" t="b">
        <v>1</v>
      </c>
      <c r="G79" s="5">
        <v>70187</v>
      </c>
      <c r="H79" s="64" t="s">
        <v>837</v>
      </c>
      <c r="I79" s="5">
        <v>910039</v>
      </c>
      <c r="J79" s="2" t="b">
        <v>1</v>
      </c>
      <c r="K79" s="5">
        <v>4495</v>
      </c>
      <c r="L79" s="4" t="s">
        <v>833</v>
      </c>
      <c r="M79" s="5">
        <v>8909</v>
      </c>
      <c r="N79" s="2" t="s">
        <v>822</v>
      </c>
      <c r="O79" s="5">
        <v>272</v>
      </c>
      <c r="P79" s="2" t="s">
        <v>820</v>
      </c>
      <c r="Q79" s="5">
        <v>716</v>
      </c>
      <c r="R79" s="2" t="s">
        <v>859</v>
      </c>
      <c r="T79" s="2"/>
    </row>
    <row r="80" spans="1:20" x14ac:dyDescent="0.2">
      <c r="A80" s="103"/>
      <c r="B80" s="28" t="s">
        <v>183</v>
      </c>
      <c r="C80" s="22" t="s">
        <v>818</v>
      </c>
      <c r="D80" s="2" t="s">
        <v>818</v>
      </c>
      <c r="E80" s="5">
        <v>445</v>
      </c>
      <c r="F80" s="2" t="b">
        <v>1</v>
      </c>
      <c r="G80" s="5">
        <v>9810</v>
      </c>
      <c r="H80" s="2" t="s">
        <v>818</v>
      </c>
      <c r="I80" s="5">
        <v>5760</v>
      </c>
      <c r="J80" s="2" t="b">
        <v>1</v>
      </c>
      <c r="K80" s="5">
        <v>3504</v>
      </c>
      <c r="L80" s="4" t="s">
        <v>833</v>
      </c>
      <c r="M80" s="5">
        <v>6985</v>
      </c>
      <c r="N80" s="2" t="s">
        <v>822</v>
      </c>
      <c r="O80" s="5">
        <v>248</v>
      </c>
      <c r="P80" s="2" t="s">
        <v>820</v>
      </c>
      <c r="Q80" s="5">
        <v>1025</v>
      </c>
      <c r="R80" s="2" t="s">
        <v>859</v>
      </c>
      <c r="T80" s="2"/>
    </row>
    <row r="81" spans="1:20" x14ac:dyDescent="0.2">
      <c r="A81" s="103"/>
      <c r="B81" s="28" t="s">
        <v>184</v>
      </c>
      <c r="C81" s="22" t="s">
        <v>818</v>
      </c>
      <c r="D81" s="2" t="s">
        <v>818</v>
      </c>
      <c r="E81" s="5">
        <v>1767</v>
      </c>
      <c r="F81" s="2" t="b">
        <v>1</v>
      </c>
      <c r="G81" s="5">
        <v>183043</v>
      </c>
      <c r="H81" s="2" t="s">
        <v>819</v>
      </c>
      <c r="I81" s="5">
        <v>49659</v>
      </c>
      <c r="J81" s="2" t="b">
        <v>1</v>
      </c>
      <c r="K81" s="5">
        <v>9261</v>
      </c>
      <c r="L81" s="4" t="s">
        <v>833</v>
      </c>
      <c r="M81" s="5">
        <v>7307</v>
      </c>
      <c r="N81" s="2" t="s">
        <v>822</v>
      </c>
      <c r="O81" s="5">
        <v>273</v>
      </c>
      <c r="P81" s="2" t="s">
        <v>818</v>
      </c>
      <c r="Q81" s="5">
        <v>20361</v>
      </c>
      <c r="R81" s="2" t="s">
        <v>859</v>
      </c>
      <c r="T81" s="2"/>
    </row>
    <row r="82" spans="1:20" x14ac:dyDescent="0.2">
      <c r="A82" s="103"/>
      <c r="B82" s="28" t="s">
        <v>185</v>
      </c>
      <c r="C82" s="22" t="s">
        <v>818</v>
      </c>
      <c r="D82" s="2" t="s">
        <v>818</v>
      </c>
      <c r="E82" s="5">
        <v>423</v>
      </c>
      <c r="F82" s="2" t="b">
        <v>1</v>
      </c>
      <c r="G82" s="5">
        <v>10635</v>
      </c>
      <c r="H82" s="2" t="s">
        <v>818</v>
      </c>
      <c r="I82" s="5">
        <v>7223</v>
      </c>
      <c r="J82" s="2" t="s">
        <v>838</v>
      </c>
      <c r="K82" s="5">
        <v>211450</v>
      </c>
      <c r="L82" s="4" t="s">
        <v>833</v>
      </c>
      <c r="M82" s="5">
        <v>5335</v>
      </c>
      <c r="N82" s="2" t="s">
        <v>822</v>
      </c>
      <c r="O82" s="5">
        <v>255</v>
      </c>
      <c r="P82" s="2" t="s">
        <v>820</v>
      </c>
      <c r="Q82" s="5">
        <v>820</v>
      </c>
      <c r="R82" s="2" t="s">
        <v>859</v>
      </c>
      <c r="T82" s="2"/>
    </row>
    <row r="83" spans="1:20" x14ac:dyDescent="0.2">
      <c r="A83" s="103"/>
      <c r="B83" s="28" t="s">
        <v>186</v>
      </c>
      <c r="C83" s="22" t="s">
        <v>818</v>
      </c>
      <c r="D83" s="2" t="s">
        <v>818</v>
      </c>
      <c r="E83" s="5">
        <v>413</v>
      </c>
      <c r="F83" s="2" t="b">
        <v>1</v>
      </c>
      <c r="G83" s="5">
        <v>60529</v>
      </c>
      <c r="H83" s="2" t="s">
        <v>818</v>
      </c>
      <c r="I83" s="5">
        <v>6012</v>
      </c>
      <c r="J83" s="2" t="b">
        <v>1</v>
      </c>
      <c r="K83" s="5">
        <v>3661</v>
      </c>
      <c r="L83" s="4" t="s">
        <v>833</v>
      </c>
      <c r="M83" s="5">
        <v>9290</v>
      </c>
      <c r="N83" s="2" t="s">
        <v>822</v>
      </c>
      <c r="O83" s="5">
        <v>269</v>
      </c>
      <c r="P83" s="2" t="s">
        <v>820</v>
      </c>
      <c r="Q83" s="5">
        <v>935</v>
      </c>
      <c r="R83" s="2" t="s">
        <v>859</v>
      </c>
      <c r="T83" s="2"/>
    </row>
    <row r="84" spans="1:20" x14ac:dyDescent="0.2">
      <c r="A84" s="103"/>
      <c r="B84" s="28" t="s">
        <v>187</v>
      </c>
      <c r="C84" s="22" t="s">
        <v>818</v>
      </c>
      <c r="D84" s="2" t="s">
        <v>818</v>
      </c>
      <c r="E84" s="5">
        <v>1231</v>
      </c>
      <c r="F84" s="2" t="b">
        <v>1</v>
      </c>
      <c r="G84" s="5">
        <v>11080</v>
      </c>
      <c r="H84" s="2" t="s">
        <v>818</v>
      </c>
      <c r="I84" s="5">
        <v>11733</v>
      </c>
      <c r="J84" s="2" t="s">
        <v>833</v>
      </c>
      <c r="K84" s="5">
        <v>900408</v>
      </c>
      <c r="L84" s="4" t="s">
        <v>833</v>
      </c>
      <c r="M84" s="5">
        <v>10075</v>
      </c>
      <c r="N84" s="2" t="s">
        <v>822</v>
      </c>
      <c r="O84" s="5">
        <v>271</v>
      </c>
      <c r="P84" s="2" t="s">
        <v>820</v>
      </c>
      <c r="Q84" s="5">
        <v>721</v>
      </c>
      <c r="R84" s="2" t="s">
        <v>859</v>
      </c>
      <c r="T84" s="2"/>
    </row>
    <row r="85" spans="1:20" x14ac:dyDescent="0.2">
      <c r="A85" s="103"/>
      <c r="B85" s="28" t="s">
        <v>188</v>
      </c>
      <c r="C85" s="22" t="s">
        <v>818</v>
      </c>
      <c r="D85" s="2" t="s">
        <v>818</v>
      </c>
      <c r="E85" s="5">
        <v>424</v>
      </c>
      <c r="F85" s="2" t="b">
        <v>1</v>
      </c>
      <c r="G85" s="5">
        <v>11701</v>
      </c>
      <c r="H85" s="2" t="s">
        <v>818</v>
      </c>
      <c r="I85" s="5">
        <v>7614</v>
      </c>
      <c r="J85" s="2" t="s">
        <v>833</v>
      </c>
      <c r="K85" s="5">
        <v>900391</v>
      </c>
      <c r="L85" s="4" t="s">
        <v>833</v>
      </c>
      <c r="M85" s="5">
        <v>8094</v>
      </c>
      <c r="N85" s="2" t="s">
        <v>822</v>
      </c>
      <c r="O85" s="5">
        <v>265</v>
      </c>
      <c r="P85" s="2" t="s">
        <v>820</v>
      </c>
      <c r="Q85" s="5">
        <v>827</v>
      </c>
      <c r="R85" s="2" t="s">
        <v>859</v>
      </c>
      <c r="T85" s="2"/>
    </row>
    <row r="86" spans="1:20" x14ac:dyDescent="0.2">
      <c r="A86" s="103"/>
      <c r="B86" s="28" t="s">
        <v>189</v>
      </c>
      <c r="C86" s="22" t="s">
        <v>818</v>
      </c>
      <c r="D86" s="2" t="s">
        <v>818</v>
      </c>
      <c r="E86" s="5">
        <v>735</v>
      </c>
      <c r="F86" s="2" t="b">
        <v>1</v>
      </c>
      <c r="G86" s="5">
        <v>185375</v>
      </c>
      <c r="H86" s="64" t="s">
        <v>837</v>
      </c>
      <c r="I86" s="5">
        <v>900148</v>
      </c>
      <c r="J86" s="2" t="b">
        <v>1</v>
      </c>
      <c r="K86" s="5">
        <v>5103</v>
      </c>
      <c r="L86" s="4" t="s">
        <v>833</v>
      </c>
      <c r="M86" s="5">
        <v>7353</v>
      </c>
      <c r="N86" s="2" t="s">
        <v>822</v>
      </c>
      <c r="O86" s="5">
        <v>264</v>
      </c>
      <c r="P86" s="2" t="s">
        <v>820</v>
      </c>
      <c r="Q86" s="5">
        <v>887</v>
      </c>
      <c r="R86" s="2" t="s">
        <v>859</v>
      </c>
      <c r="T86" s="2"/>
    </row>
    <row r="87" spans="1:20" x14ac:dyDescent="0.2">
      <c r="A87" s="103"/>
      <c r="B87" s="28" t="s">
        <v>190</v>
      </c>
      <c r="C87" s="22" t="s">
        <v>818</v>
      </c>
      <c r="D87" s="2" t="s">
        <v>837</v>
      </c>
      <c r="E87" s="5">
        <v>900362</v>
      </c>
      <c r="F87" s="2" t="s">
        <v>883</v>
      </c>
      <c r="G87" s="5">
        <v>302119</v>
      </c>
      <c r="H87" s="64" t="s">
        <v>837</v>
      </c>
      <c r="I87" s="5">
        <v>910037</v>
      </c>
      <c r="J87" s="2" t="s">
        <v>833</v>
      </c>
      <c r="K87" s="5">
        <v>900413</v>
      </c>
      <c r="L87" s="4" t="s">
        <v>833</v>
      </c>
      <c r="M87" s="5">
        <v>8664</v>
      </c>
      <c r="N87" s="2" t="s">
        <v>822</v>
      </c>
      <c r="O87" s="5">
        <v>263</v>
      </c>
      <c r="P87" s="2" t="s">
        <v>820</v>
      </c>
      <c r="Q87" s="5">
        <v>1019</v>
      </c>
      <c r="R87" s="2" t="s">
        <v>859</v>
      </c>
      <c r="T87" s="2"/>
    </row>
    <row r="88" spans="1:20" x14ac:dyDescent="0.2">
      <c r="A88" s="103"/>
      <c r="B88" s="28" t="s">
        <v>191</v>
      </c>
      <c r="C88" s="22" t="s">
        <v>818</v>
      </c>
      <c r="D88" s="2" t="s">
        <v>837</v>
      </c>
      <c r="E88" s="5">
        <v>900555</v>
      </c>
      <c r="F88" s="2" t="b">
        <v>1</v>
      </c>
      <c r="G88" s="5">
        <v>182750</v>
      </c>
      <c r="H88" s="2" t="s">
        <v>819</v>
      </c>
      <c r="I88" s="5">
        <v>34430</v>
      </c>
      <c r="J88" s="2" t="s">
        <v>833</v>
      </c>
      <c r="K88" s="5">
        <v>900414</v>
      </c>
      <c r="L88" s="4" t="s">
        <v>833</v>
      </c>
      <c r="M88" s="5">
        <v>21835</v>
      </c>
      <c r="N88" s="2" t="s">
        <v>822</v>
      </c>
      <c r="O88" s="5">
        <v>255</v>
      </c>
      <c r="P88" s="2" t="s">
        <v>837</v>
      </c>
      <c r="Q88" s="5">
        <v>910062</v>
      </c>
      <c r="R88" s="2" t="s">
        <v>859</v>
      </c>
      <c r="T88" s="2"/>
    </row>
    <row r="89" spans="1:20" x14ac:dyDescent="0.2">
      <c r="A89" s="103"/>
      <c r="B89" s="28" t="s">
        <v>192</v>
      </c>
      <c r="C89" s="61" t="s">
        <v>818</v>
      </c>
      <c r="D89" s="2" t="s">
        <v>837</v>
      </c>
      <c r="E89" s="5">
        <v>900855</v>
      </c>
      <c r="F89" s="2" t="s">
        <v>883</v>
      </c>
      <c r="G89" s="5">
        <v>301775</v>
      </c>
      <c r="H89" s="64" t="s">
        <v>837</v>
      </c>
      <c r="I89" s="5">
        <v>910039</v>
      </c>
      <c r="J89" s="2" t="s">
        <v>838</v>
      </c>
      <c r="K89" s="5">
        <v>8474</v>
      </c>
      <c r="L89" s="4" t="s">
        <v>833</v>
      </c>
      <c r="M89" s="5">
        <v>6055</v>
      </c>
      <c r="N89" s="2" t="s">
        <v>822</v>
      </c>
      <c r="O89" s="5">
        <v>270</v>
      </c>
      <c r="P89" s="2" t="s">
        <v>820</v>
      </c>
      <c r="Q89" s="5">
        <v>1168</v>
      </c>
      <c r="R89" s="2" t="s">
        <v>859</v>
      </c>
      <c r="T89" s="2"/>
    </row>
    <row r="90" spans="1:20" x14ac:dyDescent="0.2">
      <c r="A90" s="103"/>
      <c r="B90" s="28" t="s">
        <v>193</v>
      </c>
      <c r="C90" s="22" t="s">
        <v>818</v>
      </c>
      <c r="D90" s="2" t="s">
        <v>818</v>
      </c>
      <c r="E90" s="5">
        <v>3213</v>
      </c>
      <c r="F90" s="2" t="b">
        <v>1</v>
      </c>
      <c r="G90" s="5">
        <v>182634</v>
      </c>
      <c r="H90" s="2" t="s">
        <v>818</v>
      </c>
      <c r="I90" s="5">
        <v>40251</v>
      </c>
      <c r="J90" s="2" t="s">
        <v>838</v>
      </c>
      <c r="K90" s="5">
        <v>10328</v>
      </c>
      <c r="L90" s="4" t="s">
        <v>833</v>
      </c>
      <c r="M90" s="5">
        <v>8097</v>
      </c>
      <c r="N90" s="2" t="s">
        <v>822</v>
      </c>
      <c r="O90" s="5">
        <v>260</v>
      </c>
      <c r="P90" s="2" t="s">
        <v>820</v>
      </c>
      <c r="Q90" s="5">
        <v>1212</v>
      </c>
      <c r="R90" s="2" t="s">
        <v>859</v>
      </c>
      <c r="T90" s="2"/>
    </row>
    <row r="91" spans="1:20" x14ac:dyDescent="0.2">
      <c r="A91" s="103"/>
      <c r="B91" s="28" t="s">
        <v>194</v>
      </c>
      <c r="C91" s="22" t="s">
        <v>818</v>
      </c>
      <c r="D91" s="2" t="s">
        <v>818</v>
      </c>
      <c r="E91" s="5">
        <v>1886</v>
      </c>
      <c r="F91" s="2" t="b">
        <v>1</v>
      </c>
      <c r="G91" s="5">
        <v>5521</v>
      </c>
      <c r="H91" s="2" t="s">
        <v>819</v>
      </c>
      <c r="I91" s="5">
        <v>3972</v>
      </c>
      <c r="J91" s="2" t="b">
        <v>1</v>
      </c>
      <c r="K91" s="5">
        <v>7400</v>
      </c>
      <c r="L91" s="4" t="s">
        <v>833</v>
      </c>
      <c r="M91" s="5">
        <v>8348</v>
      </c>
      <c r="N91" s="2" t="s">
        <v>822</v>
      </c>
      <c r="O91" s="5">
        <v>257</v>
      </c>
      <c r="P91" s="64" t="s">
        <v>838</v>
      </c>
      <c r="Q91" s="5">
        <v>674</v>
      </c>
      <c r="R91" s="2" t="s">
        <v>859</v>
      </c>
      <c r="T91" s="2"/>
    </row>
    <row r="92" spans="1:20" x14ac:dyDescent="0.2">
      <c r="A92" s="103"/>
      <c r="B92" s="28" t="s">
        <v>195</v>
      </c>
      <c r="C92" s="22" t="s">
        <v>818</v>
      </c>
      <c r="D92" s="2" t="s">
        <v>818</v>
      </c>
      <c r="E92" s="5">
        <v>5856</v>
      </c>
      <c r="F92" s="2" t="s">
        <v>883</v>
      </c>
      <c r="G92" s="5">
        <v>191857</v>
      </c>
      <c r="H92" s="2" t="s">
        <v>818</v>
      </c>
      <c r="I92" s="5">
        <v>19578</v>
      </c>
      <c r="J92" s="2" t="b">
        <v>1</v>
      </c>
      <c r="K92" s="5">
        <v>17435</v>
      </c>
      <c r="L92" s="4" t="s">
        <v>833</v>
      </c>
      <c r="M92" s="5">
        <v>52583</v>
      </c>
      <c r="N92" s="2" t="s">
        <v>822</v>
      </c>
      <c r="O92" s="5">
        <v>266</v>
      </c>
      <c r="P92" s="2" t="s">
        <v>820</v>
      </c>
      <c r="Q92" s="5">
        <v>1019</v>
      </c>
      <c r="R92" s="2" t="s">
        <v>859</v>
      </c>
      <c r="T92" s="2"/>
    </row>
    <row r="93" spans="1:20" x14ac:dyDescent="0.2">
      <c r="A93" s="103"/>
      <c r="B93" s="28" t="s">
        <v>196</v>
      </c>
      <c r="C93" s="22" t="s">
        <v>818</v>
      </c>
      <c r="D93" s="2" t="s">
        <v>818</v>
      </c>
      <c r="E93" s="5">
        <v>3076</v>
      </c>
      <c r="F93" s="2" t="s">
        <v>883</v>
      </c>
      <c r="G93" s="5">
        <v>224552</v>
      </c>
      <c r="H93" s="2" t="s">
        <v>818</v>
      </c>
      <c r="I93" s="5">
        <v>16155</v>
      </c>
      <c r="J93" s="2" t="b">
        <v>1</v>
      </c>
      <c r="K93" s="5">
        <v>35975</v>
      </c>
      <c r="L93" s="4" t="s">
        <v>833</v>
      </c>
      <c r="M93" s="5">
        <v>52850</v>
      </c>
      <c r="N93" s="2" t="s">
        <v>822</v>
      </c>
      <c r="O93" s="5">
        <v>274</v>
      </c>
      <c r="P93" s="2" t="s">
        <v>820</v>
      </c>
      <c r="Q93" s="5">
        <v>1072</v>
      </c>
      <c r="R93" s="2" t="s">
        <v>859</v>
      </c>
      <c r="T93" s="2"/>
    </row>
    <row r="94" spans="1:20" x14ac:dyDescent="0.2">
      <c r="A94" s="103"/>
      <c r="B94" s="28" t="s">
        <v>197</v>
      </c>
      <c r="C94" s="22" t="s">
        <v>818</v>
      </c>
      <c r="D94" s="2" t="s">
        <v>818</v>
      </c>
      <c r="E94" s="5">
        <v>2095</v>
      </c>
      <c r="F94" s="2" t="b">
        <v>1</v>
      </c>
      <c r="G94" s="5">
        <v>2644</v>
      </c>
      <c r="H94" s="2" t="s">
        <v>818</v>
      </c>
      <c r="I94" s="5">
        <v>7931</v>
      </c>
      <c r="J94" s="2" t="b">
        <v>1</v>
      </c>
      <c r="K94" s="5">
        <v>3501</v>
      </c>
      <c r="L94" s="4" t="s">
        <v>833</v>
      </c>
      <c r="M94" s="5">
        <v>6496</v>
      </c>
      <c r="N94" s="2" t="s">
        <v>822</v>
      </c>
      <c r="O94" s="5">
        <v>260</v>
      </c>
      <c r="P94" s="2" t="s">
        <v>820</v>
      </c>
      <c r="Q94" s="5">
        <v>1517</v>
      </c>
      <c r="R94" s="2" t="s">
        <v>859</v>
      </c>
      <c r="T94" s="2"/>
    </row>
    <row r="95" spans="1:20" x14ac:dyDescent="0.2">
      <c r="A95" s="103"/>
      <c r="B95" s="28" t="s">
        <v>198</v>
      </c>
      <c r="C95" s="22" t="s">
        <v>818</v>
      </c>
      <c r="D95" s="2" t="s">
        <v>818</v>
      </c>
      <c r="E95" s="5">
        <v>2932</v>
      </c>
      <c r="F95" s="2" t="b">
        <v>1</v>
      </c>
      <c r="G95" s="5">
        <v>125560</v>
      </c>
      <c r="H95" s="2" t="s">
        <v>818</v>
      </c>
      <c r="I95" s="5">
        <v>11844</v>
      </c>
      <c r="J95" s="2" t="b">
        <v>1</v>
      </c>
      <c r="K95" s="5">
        <v>3634</v>
      </c>
      <c r="L95" s="4" t="s">
        <v>833</v>
      </c>
      <c r="M95" s="5">
        <v>6483</v>
      </c>
      <c r="N95" s="2" t="s">
        <v>822</v>
      </c>
      <c r="O95" s="5">
        <v>282</v>
      </c>
      <c r="P95" s="64" t="s">
        <v>838</v>
      </c>
      <c r="Q95" s="5">
        <v>1277</v>
      </c>
      <c r="R95" s="2" t="s">
        <v>859</v>
      </c>
      <c r="T95" s="2"/>
    </row>
    <row r="96" spans="1:20" x14ac:dyDescent="0.2">
      <c r="A96" s="103"/>
      <c r="B96" s="28" t="s">
        <v>199</v>
      </c>
      <c r="C96" s="61" t="s">
        <v>818</v>
      </c>
      <c r="D96" s="2" t="s">
        <v>818</v>
      </c>
      <c r="E96" s="5">
        <v>2778</v>
      </c>
      <c r="F96" s="2" t="b">
        <v>1</v>
      </c>
      <c r="G96" s="5">
        <v>182763</v>
      </c>
      <c r="H96" s="2" t="s">
        <v>819</v>
      </c>
      <c r="I96" s="5">
        <v>8084</v>
      </c>
      <c r="J96" s="2" t="b">
        <v>1</v>
      </c>
      <c r="K96" s="5">
        <v>3715</v>
      </c>
      <c r="L96" s="4" t="s">
        <v>833</v>
      </c>
      <c r="M96" s="5">
        <v>6431</v>
      </c>
      <c r="N96" s="2" t="s">
        <v>822</v>
      </c>
      <c r="O96" s="5">
        <v>274</v>
      </c>
      <c r="P96" s="64" t="s">
        <v>838</v>
      </c>
      <c r="Q96" s="5">
        <v>967</v>
      </c>
      <c r="R96" s="2" t="s">
        <v>859</v>
      </c>
      <c r="T96" s="2"/>
    </row>
    <row r="97" spans="1:20" x14ac:dyDescent="0.2">
      <c r="A97" s="103"/>
      <c r="B97" s="28" t="s">
        <v>200</v>
      </c>
      <c r="C97" s="22" t="s">
        <v>818</v>
      </c>
      <c r="D97" s="2" t="s">
        <v>818</v>
      </c>
      <c r="E97" s="5">
        <v>1629</v>
      </c>
      <c r="F97" s="2" t="b">
        <v>1</v>
      </c>
      <c r="G97" s="5">
        <v>69216</v>
      </c>
      <c r="H97" s="2" t="s">
        <v>818</v>
      </c>
      <c r="I97" s="5">
        <v>9721</v>
      </c>
      <c r="J97" s="2" t="b">
        <v>1</v>
      </c>
      <c r="K97" s="5">
        <v>3734</v>
      </c>
      <c r="L97" s="4" t="s">
        <v>833</v>
      </c>
      <c r="M97" s="5">
        <v>6435</v>
      </c>
      <c r="N97" s="2" t="s">
        <v>822</v>
      </c>
      <c r="O97" s="5">
        <v>260</v>
      </c>
      <c r="P97" s="2" t="s">
        <v>820</v>
      </c>
      <c r="Q97" s="5">
        <v>1166</v>
      </c>
      <c r="R97" s="2" t="s">
        <v>859</v>
      </c>
      <c r="T97" s="2"/>
    </row>
    <row r="98" spans="1:20" x14ac:dyDescent="0.2">
      <c r="A98" s="103"/>
      <c r="B98" s="28" t="s">
        <v>201</v>
      </c>
      <c r="C98" s="22" t="s">
        <v>818</v>
      </c>
      <c r="D98" s="2" t="s">
        <v>837</v>
      </c>
      <c r="E98" s="5">
        <v>900892</v>
      </c>
      <c r="F98" s="2" t="b">
        <v>1</v>
      </c>
      <c r="G98" s="5">
        <v>56492</v>
      </c>
      <c r="H98" s="2" t="s">
        <v>818</v>
      </c>
      <c r="I98" s="5">
        <v>42343</v>
      </c>
      <c r="J98" s="2" t="b">
        <v>1</v>
      </c>
      <c r="K98" s="5">
        <v>3806</v>
      </c>
      <c r="L98" s="4" t="s">
        <v>833</v>
      </c>
      <c r="M98" s="5">
        <v>7129</v>
      </c>
      <c r="N98" s="2" t="s">
        <v>822</v>
      </c>
      <c r="O98" s="5">
        <v>270</v>
      </c>
      <c r="P98" s="2" t="s">
        <v>820</v>
      </c>
      <c r="Q98" s="5">
        <v>785</v>
      </c>
      <c r="R98" s="2" t="s">
        <v>859</v>
      </c>
      <c r="T98" s="2"/>
    </row>
    <row r="99" spans="1:20" x14ac:dyDescent="0.2">
      <c r="A99" s="103"/>
      <c r="B99" s="28" t="s">
        <v>202</v>
      </c>
      <c r="C99" s="22" t="s">
        <v>818</v>
      </c>
      <c r="D99" s="2" t="s">
        <v>818</v>
      </c>
      <c r="E99" s="5">
        <v>610</v>
      </c>
      <c r="F99" s="2" t="b">
        <v>1</v>
      </c>
      <c r="G99" s="5">
        <v>182797</v>
      </c>
      <c r="H99" s="2" t="s">
        <v>818</v>
      </c>
      <c r="I99" s="5">
        <v>29912</v>
      </c>
      <c r="J99" s="2" t="b">
        <v>1</v>
      </c>
      <c r="K99" s="5">
        <v>13672</v>
      </c>
      <c r="L99" s="4" t="s">
        <v>833</v>
      </c>
      <c r="M99" s="5">
        <v>8992</v>
      </c>
      <c r="N99" s="2" t="s">
        <v>822</v>
      </c>
      <c r="O99" s="5">
        <v>265</v>
      </c>
      <c r="P99" s="2" t="s">
        <v>820</v>
      </c>
      <c r="Q99" s="5">
        <v>1444</v>
      </c>
      <c r="R99" s="2" t="s">
        <v>859</v>
      </c>
      <c r="T99" s="2"/>
    </row>
    <row r="100" spans="1:20" x14ac:dyDescent="0.2">
      <c r="A100" s="103"/>
      <c r="B100" s="28" t="s">
        <v>203</v>
      </c>
      <c r="C100" s="61" t="s">
        <v>818</v>
      </c>
      <c r="D100" s="2" t="s">
        <v>837</v>
      </c>
      <c r="E100" s="5">
        <v>900444</v>
      </c>
      <c r="F100" s="2" t="b">
        <v>1</v>
      </c>
      <c r="G100" s="5">
        <v>127170</v>
      </c>
      <c r="H100" s="2" t="s">
        <v>819</v>
      </c>
      <c r="I100" s="5">
        <v>5180</v>
      </c>
      <c r="J100" s="2" t="b">
        <v>1</v>
      </c>
      <c r="K100" s="5">
        <v>3967</v>
      </c>
      <c r="L100" s="4" t="s">
        <v>833</v>
      </c>
      <c r="M100" s="5">
        <v>8364</v>
      </c>
      <c r="N100" s="2" t="s">
        <v>822</v>
      </c>
      <c r="O100" s="5">
        <v>293</v>
      </c>
      <c r="P100" s="2" t="s">
        <v>820</v>
      </c>
      <c r="Q100" s="5">
        <v>1082</v>
      </c>
      <c r="R100" s="2" t="s">
        <v>859</v>
      </c>
      <c r="T100" s="2"/>
    </row>
    <row r="101" spans="1:20" x14ac:dyDescent="0.2">
      <c r="A101" s="103"/>
      <c r="B101" s="28" t="s">
        <v>204</v>
      </c>
      <c r="C101" s="22" t="s">
        <v>818</v>
      </c>
      <c r="D101" s="2" t="s">
        <v>837</v>
      </c>
      <c r="E101" s="5">
        <v>900500</v>
      </c>
      <c r="F101" s="2" t="b">
        <v>1</v>
      </c>
      <c r="G101" s="5">
        <v>182679</v>
      </c>
      <c r="H101" s="2" t="s">
        <v>818</v>
      </c>
      <c r="I101" s="5">
        <v>10022</v>
      </c>
      <c r="J101" s="2" t="b">
        <v>1</v>
      </c>
      <c r="K101" s="5">
        <v>4163</v>
      </c>
      <c r="L101" s="4" t="s">
        <v>833</v>
      </c>
      <c r="M101" s="5">
        <v>7166</v>
      </c>
      <c r="N101" s="2" t="s">
        <v>822</v>
      </c>
      <c r="O101" s="5">
        <v>271</v>
      </c>
      <c r="P101" s="2" t="s">
        <v>820</v>
      </c>
      <c r="Q101" s="5">
        <v>1039</v>
      </c>
      <c r="R101" s="2" t="s">
        <v>859</v>
      </c>
      <c r="T101" s="2"/>
    </row>
    <row r="102" spans="1:20" x14ac:dyDescent="0.2">
      <c r="A102" s="103"/>
      <c r="B102" s="28" t="s">
        <v>205</v>
      </c>
      <c r="C102" s="22" t="s">
        <v>818</v>
      </c>
      <c r="D102" s="2" t="s">
        <v>837</v>
      </c>
      <c r="E102" s="5">
        <v>900373</v>
      </c>
      <c r="F102" s="2" t="b">
        <v>1</v>
      </c>
      <c r="G102" s="5">
        <v>60496</v>
      </c>
      <c r="H102" s="2" t="s">
        <v>818</v>
      </c>
      <c r="I102" s="5">
        <v>41585</v>
      </c>
      <c r="J102" s="2" t="b">
        <v>1</v>
      </c>
      <c r="K102" s="5">
        <v>4110</v>
      </c>
      <c r="L102" s="4" t="s">
        <v>833</v>
      </c>
      <c r="M102" s="5">
        <v>7254</v>
      </c>
      <c r="N102" s="2" t="s">
        <v>822</v>
      </c>
      <c r="O102" s="5">
        <v>269</v>
      </c>
      <c r="P102" s="2" t="s">
        <v>820</v>
      </c>
      <c r="Q102" s="5">
        <v>971</v>
      </c>
      <c r="R102" s="2" t="s">
        <v>859</v>
      </c>
      <c r="T102" s="2"/>
    </row>
    <row r="103" spans="1:20" x14ac:dyDescent="0.2">
      <c r="A103" s="103"/>
      <c r="B103" s="28" t="s">
        <v>206</v>
      </c>
      <c r="C103" s="61" t="s">
        <v>818</v>
      </c>
      <c r="D103" s="2" t="s">
        <v>837</v>
      </c>
      <c r="E103" s="5">
        <v>900434</v>
      </c>
      <c r="F103" s="2" t="b">
        <v>1</v>
      </c>
      <c r="G103" s="5">
        <v>183011</v>
      </c>
      <c r="H103" s="64" t="s">
        <v>837</v>
      </c>
      <c r="I103" s="5">
        <v>901004</v>
      </c>
      <c r="J103" s="2" t="s">
        <v>833</v>
      </c>
      <c r="K103" s="5">
        <v>27894</v>
      </c>
      <c r="L103" s="4" t="s">
        <v>833</v>
      </c>
      <c r="M103" s="5">
        <v>7477</v>
      </c>
      <c r="N103" s="2" t="s">
        <v>822</v>
      </c>
      <c r="O103" s="5">
        <v>272</v>
      </c>
      <c r="P103" s="2" t="s">
        <v>820</v>
      </c>
      <c r="Q103" s="5">
        <v>745</v>
      </c>
      <c r="R103" s="2" t="s">
        <v>859</v>
      </c>
      <c r="T103" s="2"/>
    </row>
    <row r="104" spans="1:20" x14ac:dyDescent="0.2">
      <c r="A104" s="103"/>
      <c r="B104" s="28" t="s">
        <v>207</v>
      </c>
      <c r="C104" s="22" t="s">
        <v>818</v>
      </c>
      <c r="D104" s="2" t="s">
        <v>837</v>
      </c>
      <c r="E104" s="5">
        <v>900447</v>
      </c>
      <c r="F104" s="2" t="b">
        <v>1</v>
      </c>
      <c r="G104" s="5">
        <v>183295</v>
      </c>
      <c r="H104" s="2" t="s">
        <v>818</v>
      </c>
      <c r="I104" s="5">
        <v>18969</v>
      </c>
      <c r="J104" s="2" t="b">
        <v>1</v>
      </c>
      <c r="K104" s="5">
        <v>8029</v>
      </c>
      <c r="L104" s="4" t="s">
        <v>833</v>
      </c>
      <c r="M104" s="5">
        <v>8679</v>
      </c>
      <c r="N104" s="2" t="s">
        <v>822</v>
      </c>
      <c r="O104" s="5">
        <v>265</v>
      </c>
      <c r="P104" s="2" t="s">
        <v>820</v>
      </c>
      <c r="Q104" s="5">
        <v>1109</v>
      </c>
      <c r="R104" s="2" t="s">
        <v>859</v>
      </c>
      <c r="T104" s="2"/>
    </row>
    <row r="105" spans="1:20" x14ac:dyDescent="0.2">
      <c r="A105" s="103"/>
      <c r="B105" s="28" t="s">
        <v>208</v>
      </c>
      <c r="C105" s="22" t="s">
        <v>818</v>
      </c>
      <c r="D105" s="2" t="s">
        <v>837</v>
      </c>
      <c r="E105" s="5">
        <v>900539</v>
      </c>
      <c r="F105" s="2" t="b">
        <v>1</v>
      </c>
      <c r="G105" s="5">
        <v>44254</v>
      </c>
      <c r="H105" s="2" t="s">
        <v>818</v>
      </c>
      <c r="I105" s="5">
        <v>6371</v>
      </c>
      <c r="J105" s="2" t="b">
        <v>1</v>
      </c>
      <c r="K105" s="5">
        <v>3359</v>
      </c>
      <c r="L105" s="4" t="s">
        <v>833</v>
      </c>
      <c r="M105" s="5">
        <v>6282</v>
      </c>
      <c r="N105" s="2" t="s">
        <v>822</v>
      </c>
      <c r="O105" s="5">
        <v>262</v>
      </c>
      <c r="P105" s="2" t="s">
        <v>820</v>
      </c>
      <c r="Q105" s="5">
        <v>1341</v>
      </c>
      <c r="R105" s="2" t="s">
        <v>859</v>
      </c>
      <c r="T105" s="2"/>
    </row>
    <row r="106" spans="1:20" x14ac:dyDescent="0.2">
      <c r="A106" s="103"/>
      <c r="B106" s="28" t="s">
        <v>209</v>
      </c>
      <c r="C106" s="61" t="s">
        <v>818</v>
      </c>
      <c r="D106" s="2" t="s">
        <v>837</v>
      </c>
      <c r="E106" s="5">
        <v>900428</v>
      </c>
      <c r="F106" s="2" t="b">
        <v>1</v>
      </c>
      <c r="G106" s="5">
        <v>183240</v>
      </c>
      <c r="H106" s="2" t="s">
        <v>819</v>
      </c>
      <c r="I106" s="5">
        <v>5130</v>
      </c>
      <c r="J106" s="2" t="b">
        <v>1</v>
      </c>
      <c r="K106" s="5">
        <v>4445</v>
      </c>
      <c r="L106" s="4" t="s">
        <v>833</v>
      </c>
      <c r="M106" s="5">
        <v>8331</v>
      </c>
      <c r="N106" s="2" t="s">
        <v>822</v>
      </c>
      <c r="O106" s="5">
        <v>277</v>
      </c>
      <c r="P106" s="2" t="s">
        <v>820</v>
      </c>
      <c r="Q106" s="5">
        <v>1060</v>
      </c>
      <c r="R106" s="2" t="s">
        <v>859</v>
      </c>
      <c r="T106" s="2"/>
    </row>
    <row r="107" spans="1:20" x14ac:dyDescent="0.2">
      <c r="A107" s="103"/>
      <c r="B107" s="28" t="s">
        <v>210</v>
      </c>
      <c r="C107" s="22" t="s">
        <v>818</v>
      </c>
      <c r="D107" s="2" t="s">
        <v>837</v>
      </c>
      <c r="E107" s="5">
        <v>900482</v>
      </c>
      <c r="F107" s="2" t="b">
        <v>1</v>
      </c>
      <c r="G107" s="5">
        <v>183862</v>
      </c>
      <c r="H107" s="2" t="s">
        <v>818</v>
      </c>
      <c r="I107" s="5">
        <v>12336</v>
      </c>
      <c r="J107" s="2" t="b">
        <v>1</v>
      </c>
      <c r="K107" s="5">
        <v>4517</v>
      </c>
      <c r="L107" s="4" t="s">
        <v>833</v>
      </c>
      <c r="M107" s="5">
        <v>7534</v>
      </c>
      <c r="N107" s="2" t="s">
        <v>822</v>
      </c>
      <c r="O107" s="5">
        <v>265</v>
      </c>
      <c r="P107" s="64" t="s">
        <v>838</v>
      </c>
      <c r="Q107" s="5">
        <v>1061</v>
      </c>
      <c r="R107" s="2" t="s">
        <v>859</v>
      </c>
      <c r="T107" s="2"/>
    </row>
    <row r="108" spans="1:20" x14ac:dyDescent="0.2">
      <c r="A108" s="103"/>
      <c r="B108" s="28" t="s">
        <v>211</v>
      </c>
      <c r="C108" s="22" t="s">
        <v>818</v>
      </c>
      <c r="D108" s="2" t="s">
        <v>818</v>
      </c>
      <c r="E108" s="5">
        <v>630</v>
      </c>
      <c r="F108" s="2" t="b">
        <v>1</v>
      </c>
      <c r="G108" s="5">
        <v>183072</v>
      </c>
      <c r="H108" s="2" t="s">
        <v>818</v>
      </c>
      <c r="I108" s="5">
        <v>20775</v>
      </c>
      <c r="J108" s="2" t="b">
        <v>1</v>
      </c>
      <c r="K108" s="5">
        <v>6513</v>
      </c>
      <c r="L108" s="4" t="s">
        <v>833</v>
      </c>
      <c r="M108" s="5">
        <v>8323</v>
      </c>
      <c r="N108" s="2" t="s">
        <v>822</v>
      </c>
      <c r="O108" s="5">
        <v>267</v>
      </c>
      <c r="P108" s="2" t="s">
        <v>820</v>
      </c>
      <c r="Q108" s="5">
        <v>1121</v>
      </c>
      <c r="R108" s="2" t="s">
        <v>859</v>
      </c>
      <c r="T108" s="2"/>
    </row>
    <row r="109" spans="1:20" x14ac:dyDescent="0.2">
      <c r="A109" s="103"/>
      <c r="B109" s="28" t="s">
        <v>212</v>
      </c>
      <c r="C109" s="22" t="s">
        <v>818</v>
      </c>
      <c r="D109" s="2" t="s">
        <v>818</v>
      </c>
      <c r="E109" s="5">
        <v>531</v>
      </c>
      <c r="F109" s="2" t="b">
        <v>1</v>
      </c>
      <c r="G109" s="5">
        <v>37955</v>
      </c>
      <c r="H109" s="2" t="s">
        <v>818</v>
      </c>
      <c r="I109" s="5">
        <v>8988</v>
      </c>
      <c r="J109" s="2" t="b">
        <v>1</v>
      </c>
      <c r="K109" s="5">
        <v>3387</v>
      </c>
      <c r="L109" s="4" t="s">
        <v>833</v>
      </c>
      <c r="M109" s="5">
        <v>6588</v>
      </c>
      <c r="N109" s="2" t="s">
        <v>822</v>
      </c>
      <c r="O109" s="5">
        <v>252</v>
      </c>
      <c r="P109" s="2" t="s">
        <v>818</v>
      </c>
      <c r="Q109" s="5">
        <v>1360</v>
      </c>
      <c r="R109" s="2" t="s">
        <v>859</v>
      </c>
      <c r="T109" s="2"/>
    </row>
    <row r="110" spans="1:20" x14ac:dyDescent="0.2">
      <c r="A110" s="103"/>
      <c r="B110" s="28" t="s">
        <v>213</v>
      </c>
      <c r="C110" s="22" t="s">
        <v>818</v>
      </c>
      <c r="D110" s="2" t="s">
        <v>837</v>
      </c>
      <c r="E110" s="5">
        <v>900430</v>
      </c>
      <c r="F110" s="2" t="b">
        <v>1</v>
      </c>
      <c r="G110" s="5">
        <v>183158</v>
      </c>
      <c r="H110" s="2" t="s">
        <v>818</v>
      </c>
      <c r="I110" s="5">
        <v>17780</v>
      </c>
      <c r="J110" s="2" t="b">
        <v>1</v>
      </c>
      <c r="K110" s="5">
        <v>8404</v>
      </c>
      <c r="L110" s="4" t="s">
        <v>833</v>
      </c>
      <c r="M110" s="5">
        <v>7428</v>
      </c>
      <c r="N110" s="2" t="s">
        <v>822</v>
      </c>
      <c r="O110" s="5">
        <v>277</v>
      </c>
      <c r="P110" s="2" t="s">
        <v>820</v>
      </c>
      <c r="Q110" s="5">
        <v>990</v>
      </c>
      <c r="R110" s="2" t="s">
        <v>859</v>
      </c>
      <c r="T110" s="2"/>
    </row>
    <row r="111" spans="1:20" x14ac:dyDescent="0.2">
      <c r="A111" s="103"/>
      <c r="B111" s="28" t="s">
        <v>214</v>
      </c>
      <c r="C111" s="22" t="s">
        <v>818</v>
      </c>
      <c r="D111" s="2" t="s">
        <v>837</v>
      </c>
      <c r="E111" s="5">
        <v>900498</v>
      </c>
      <c r="F111" s="2" t="s">
        <v>883</v>
      </c>
      <c r="G111" s="5">
        <v>302497</v>
      </c>
      <c r="H111" s="64" t="s">
        <v>837</v>
      </c>
      <c r="I111" s="5">
        <v>900910</v>
      </c>
      <c r="J111" s="2" t="s">
        <v>833</v>
      </c>
      <c r="K111" s="5">
        <v>26813</v>
      </c>
      <c r="L111" s="4" t="s">
        <v>833</v>
      </c>
      <c r="M111" s="5">
        <v>7272</v>
      </c>
      <c r="N111" s="2" t="s">
        <v>822</v>
      </c>
      <c r="O111" s="5">
        <v>264</v>
      </c>
      <c r="P111" s="2" t="s">
        <v>820</v>
      </c>
      <c r="Q111" s="5">
        <v>967</v>
      </c>
      <c r="R111" s="2" t="s">
        <v>859</v>
      </c>
      <c r="T111" s="2"/>
    </row>
    <row r="112" spans="1:20" x14ac:dyDescent="0.2">
      <c r="A112" s="103"/>
      <c r="B112" s="28" t="s">
        <v>215</v>
      </c>
      <c r="C112" s="22" t="s">
        <v>818</v>
      </c>
      <c r="D112" s="2" t="s">
        <v>837</v>
      </c>
      <c r="E112" s="5">
        <v>900493</v>
      </c>
      <c r="F112" s="2" t="b">
        <v>1</v>
      </c>
      <c r="G112" s="5">
        <v>183798</v>
      </c>
      <c r="H112" s="2" t="s">
        <v>818</v>
      </c>
      <c r="I112" s="5">
        <v>68708</v>
      </c>
      <c r="J112" s="2" t="b">
        <v>1</v>
      </c>
      <c r="K112" s="5">
        <v>22782</v>
      </c>
      <c r="L112" s="4" t="s">
        <v>833</v>
      </c>
      <c r="M112" s="5">
        <v>46720</v>
      </c>
      <c r="N112" s="2" t="s">
        <v>822</v>
      </c>
      <c r="O112" s="5">
        <v>262</v>
      </c>
      <c r="P112" s="2" t="s">
        <v>820</v>
      </c>
      <c r="Q112" s="5">
        <v>1382</v>
      </c>
      <c r="R112" s="2" t="s">
        <v>859</v>
      </c>
      <c r="T112" s="2"/>
    </row>
    <row r="113" spans="1:20" x14ac:dyDescent="0.2">
      <c r="A113" s="103"/>
      <c r="B113" s="28" t="s">
        <v>216</v>
      </c>
      <c r="C113" s="22" t="s">
        <v>820</v>
      </c>
      <c r="D113" s="2" t="s">
        <v>820</v>
      </c>
      <c r="E113" s="5">
        <v>534</v>
      </c>
      <c r="F113" s="2" t="b">
        <v>1</v>
      </c>
      <c r="G113" s="5">
        <v>52159</v>
      </c>
      <c r="H113" s="75" t="s">
        <v>820</v>
      </c>
      <c r="I113" s="5">
        <v>5575</v>
      </c>
      <c r="J113" s="2" t="s">
        <v>833</v>
      </c>
      <c r="K113" s="5">
        <v>10818</v>
      </c>
      <c r="L113" s="4" t="s">
        <v>833</v>
      </c>
      <c r="M113" s="5">
        <v>6091</v>
      </c>
      <c r="N113" s="2" t="s">
        <v>822</v>
      </c>
      <c r="O113" s="5">
        <v>280</v>
      </c>
      <c r="P113" s="2" t="s">
        <v>820</v>
      </c>
      <c r="Q113" s="5">
        <v>935</v>
      </c>
      <c r="R113" s="2" t="s">
        <v>859</v>
      </c>
      <c r="T113" s="2"/>
    </row>
    <row r="114" spans="1:20" x14ac:dyDescent="0.2">
      <c r="A114" s="103"/>
      <c r="B114" s="28" t="s">
        <v>217</v>
      </c>
      <c r="C114" s="22" t="s">
        <v>818</v>
      </c>
      <c r="D114" s="2" t="s">
        <v>818</v>
      </c>
      <c r="E114" s="5">
        <v>3057</v>
      </c>
      <c r="F114" s="2" t="b">
        <v>1</v>
      </c>
      <c r="G114" s="5">
        <v>183298</v>
      </c>
      <c r="H114" s="2" t="s">
        <v>819</v>
      </c>
      <c r="I114" s="5">
        <v>91525</v>
      </c>
      <c r="J114" s="2" t="b">
        <v>1</v>
      </c>
      <c r="K114" s="5">
        <v>6134</v>
      </c>
      <c r="L114" s="4" t="s">
        <v>833</v>
      </c>
      <c r="M114" s="5">
        <v>7343</v>
      </c>
      <c r="N114" s="2" t="s">
        <v>822</v>
      </c>
      <c r="O114" s="5">
        <v>271</v>
      </c>
      <c r="P114" s="2" t="s">
        <v>818</v>
      </c>
      <c r="Q114" s="5">
        <v>156360</v>
      </c>
      <c r="R114" s="2" t="s">
        <v>859</v>
      </c>
      <c r="T114" s="2"/>
    </row>
    <row r="115" spans="1:20" x14ac:dyDescent="0.2">
      <c r="A115" s="103"/>
      <c r="B115" s="28" t="s">
        <v>218</v>
      </c>
      <c r="C115" s="22" t="s">
        <v>818</v>
      </c>
      <c r="D115" s="2" t="s">
        <v>818</v>
      </c>
      <c r="E115" s="5">
        <v>437</v>
      </c>
      <c r="F115" s="2" t="b">
        <v>1</v>
      </c>
      <c r="G115" s="5">
        <v>1787</v>
      </c>
      <c r="H115" s="2" t="s">
        <v>818</v>
      </c>
      <c r="I115" s="5">
        <v>10587</v>
      </c>
      <c r="J115" s="2" t="b">
        <v>1</v>
      </c>
      <c r="K115" s="5">
        <v>3283</v>
      </c>
      <c r="L115" s="4" t="s">
        <v>833</v>
      </c>
      <c r="M115" s="5">
        <v>6826</v>
      </c>
      <c r="N115" s="2" t="s">
        <v>822</v>
      </c>
      <c r="O115" s="5">
        <v>272</v>
      </c>
      <c r="P115" s="2" t="s">
        <v>818</v>
      </c>
      <c r="Q115" s="5">
        <v>1422</v>
      </c>
      <c r="R115" s="2" t="s">
        <v>859</v>
      </c>
      <c r="T115" s="2"/>
    </row>
    <row r="116" spans="1:20" x14ac:dyDescent="0.2">
      <c r="A116" s="103"/>
      <c r="B116" s="28" t="s">
        <v>219</v>
      </c>
      <c r="C116" s="22" t="s">
        <v>818</v>
      </c>
      <c r="D116" s="2" t="s">
        <v>818</v>
      </c>
      <c r="E116" s="5">
        <v>80562</v>
      </c>
      <c r="F116" s="2" t="s">
        <v>883</v>
      </c>
      <c r="G116" s="5">
        <v>301966</v>
      </c>
      <c r="H116" s="2" t="s">
        <v>818</v>
      </c>
      <c r="I116" s="5">
        <v>25745</v>
      </c>
      <c r="J116" s="2" t="b">
        <v>1</v>
      </c>
      <c r="K116" s="5">
        <v>5073</v>
      </c>
      <c r="L116" s="4" t="s">
        <v>833</v>
      </c>
      <c r="M116" s="5">
        <v>7377</v>
      </c>
      <c r="N116" s="2" t="s">
        <v>822</v>
      </c>
      <c r="O116" s="5">
        <v>265</v>
      </c>
      <c r="P116" s="2" t="s">
        <v>820</v>
      </c>
      <c r="Q116" s="5">
        <v>705</v>
      </c>
      <c r="R116" s="2" t="s">
        <v>859</v>
      </c>
      <c r="T116" s="2"/>
    </row>
    <row r="117" spans="1:20" x14ac:dyDescent="0.2">
      <c r="A117" s="103"/>
      <c r="B117" s="28" t="s">
        <v>220</v>
      </c>
      <c r="C117" s="22" t="s">
        <v>818</v>
      </c>
      <c r="D117" s="2" t="s">
        <v>837</v>
      </c>
      <c r="E117" s="5">
        <v>900423</v>
      </c>
      <c r="F117" s="2" t="b">
        <v>1</v>
      </c>
      <c r="G117" s="5">
        <v>66232</v>
      </c>
      <c r="H117" s="2" t="s">
        <v>818</v>
      </c>
      <c r="I117" s="5">
        <v>17555</v>
      </c>
      <c r="J117" s="2" t="b">
        <v>1</v>
      </c>
      <c r="K117" s="5">
        <v>4357</v>
      </c>
      <c r="L117" s="4" t="s">
        <v>833</v>
      </c>
      <c r="M117" s="5">
        <v>6535</v>
      </c>
      <c r="N117" s="2" t="s">
        <v>822</v>
      </c>
      <c r="O117" s="5">
        <v>268</v>
      </c>
      <c r="P117" s="64" t="s">
        <v>838</v>
      </c>
      <c r="Q117" s="5">
        <v>920</v>
      </c>
      <c r="R117" s="2" t="s">
        <v>859</v>
      </c>
      <c r="T117" s="2"/>
    </row>
    <row r="118" spans="1:20" x14ac:dyDescent="0.2">
      <c r="A118" s="103"/>
      <c r="B118" s="28" t="s">
        <v>221</v>
      </c>
      <c r="C118" s="22" t="s">
        <v>818</v>
      </c>
      <c r="D118" s="2" t="s">
        <v>837</v>
      </c>
      <c r="E118" s="5">
        <v>900570</v>
      </c>
      <c r="F118" s="2" t="b">
        <v>1</v>
      </c>
      <c r="G118" s="5">
        <v>43220</v>
      </c>
      <c r="H118" s="2" t="s">
        <v>818</v>
      </c>
      <c r="I118" s="5">
        <v>22966</v>
      </c>
      <c r="J118" s="2" t="b">
        <v>1</v>
      </c>
      <c r="K118" s="5">
        <v>4209</v>
      </c>
      <c r="L118" s="4" t="s">
        <v>833</v>
      </c>
      <c r="M118" s="5">
        <v>7342</v>
      </c>
      <c r="N118" s="2" t="s">
        <v>822</v>
      </c>
      <c r="O118" s="5">
        <v>279</v>
      </c>
      <c r="P118" s="2" t="s">
        <v>820</v>
      </c>
      <c r="Q118" s="5">
        <v>760</v>
      </c>
      <c r="R118" s="2" t="s">
        <v>859</v>
      </c>
      <c r="T118" s="2"/>
    </row>
    <row r="119" spans="1:20" x14ac:dyDescent="0.2">
      <c r="A119" s="103"/>
      <c r="B119" s="28" t="s">
        <v>222</v>
      </c>
      <c r="C119" s="22" t="s">
        <v>818</v>
      </c>
      <c r="D119" s="2" t="s">
        <v>837</v>
      </c>
      <c r="E119" s="5">
        <v>900532</v>
      </c>
      <c r="F119" s="2" t="b">
        <v>1</v>
      </c>
      <c r="G119" s="5">
        <v>183113</v>
      </c>
      <c r="H119" s="2" t="s">
        <v>818</v>
      </c>
      <c r="I119" s="5">
        <v>24296</v>
      </c>
      <c r="J119" s="2" t="b">
        <v>1</v>
      </c>
      <c r="K119" s="5">
        <v>9424</v>
      </c>
      <c r="L119" s="4" t="s">
        <v>833</v>
      </c>
      <c r="M119" s="5">
        <v>8491</v>
      </c>
      <c r="N119" s="2" t="s">
        <v>822</v>
      </c>
      <c r="O119" s="5">
        <v>263</v>
      </c>
      <c r="P119" s="2" t="s">
        <v>820</v>
      </c>
      <c r="Q119" s="5">
        <v>750</v>
      </c>
      <c r="R119" s="2" t="s">
        <v>859</v>
      </c>
      <c r="T119" s="2"/>
    </row>
    <row r="120" spans="1:20" x14ac:dyDescent="0.2">
      <c r="A120" s="103"/>
      <c r="B120" s="28" t="s">
        <v>223</v>
      </c>
      <c r="C120" s="61" t="s">
        <v>818</v>
      </c>
      <c r="D120" s="2" t="s">
        <v>818</v>
      </c>
      <c r="E120" s="5">
        <v>1103</v>
      </c>
      <c r="F120" s="2" t="b">
        <v>1</v>
      </c>
      <c r="G120" s="5">
        <v>182707</v>
      </c>
      <c r="H120" s="64" t="s">
        <v>837</v>
      </c>
      <c r="I120" s="5">
        <v>910030</v>
      </c>
      <c r="J120" s="2" t="s">
        <v>838</v>
      </c>
      <c r="K120" s="5">
        <v>15778</v>
      </c>
      <c r="L120" s="4" t="s">
        <v>833</v>
      </c>
      <c r="M120" s="5">
        <v>6979</v>
      </c>
      <c r="N120" s="2" t="s">
        <v>822</v>
      </c>
      <c r="O120" s="5">
        <v>282</v>
      </c>
      <c r="P120" s="2" t="s">
        <v>820</v>
      </c>
      <c r="Q120" s="5">
        <v>759</v>
      </c>
      <c r="R120" s="2" t="s">
        <v>859</v>
      </c>
      <c r="T120" s="2"/>
    </row>
    <row r="121" spans="1:20" x14ac:dyDescent="0.2">
      <c r="A121" s="103"/>
      <c r="B121" s="28" t="s">
        <v>224</v>
      </c>
      <c r="C121" s="22" t="s">
        <v>818</v>
      </c>
      <c r="D121" s="2" t="s">
        <v>818</v>
      </c>
      <c r="E121" s="5">
        <v>823</v>
      </c>
      <c r="F121" s="2" t="s">
        <v>883</v>
      </c>
      <c r="G121" s="5">
        <v>301882</v>
      </c>
      <c r="H121" s="2" t="s">
        <v>818</v>
      </c>
      <c r="I121" s="5">
        <v>7212</v>
      </c>
      <c r="J121" s="2" t="b">
        <v>1</v>
      </c>
      <c r="K121" s="5">
        <v>6464</v>
      </c>
      <c r="L121" s="4" t="s">
        <v>833</v>
      </c>
      <c r="M121" s="5">
        <v>11416</v>
      </c>
      <c r="N121" s="2" t="s">
        <v>822</v>
      </c>
      <c r="O121" s="5">
        <v>267</v>
      </c>
      <c r="P121" s="2" t="s">
        <v>820</v>
      </c>
      <c r="Q121" s="5">
        <v>1004</v>
      </c>
      <c r="R121" s="2" t="s">
        <v>859</v>
      </c>
      <c r="T121" s="2"/>
    </row>
    <row r="122" spans="1:20" x14ac:dyDescent="0.2">
      <c r="A122" s="103"/>
      <c r="B122" s="28" t="s">
        <v>225</v>
      </c>
      <c r="C122" s="22" t="s">
        <v>818</v>
      </c>
      <c r="D122" s="2" t="s">
        <v>818</v>
      </c>
      <c r="E122" s="5">
        <v>12833</v>
      </c>
      <c r="F122" s="2" t="s">
        <v>883</v>
      </c>
      <c r="G122" s="5">
        <v>301925</v>
      </c>
      <c r="H122" s="2" t="s">
        <v>818</v>
      </c>
      <c r="I122" s="5">
        <v>7300</v>
      </c>
      <c r="J122" s="2" t="b">
        <v>1</v>
      </c>
      <c r="K122" s="5">
        <v>16334</v>
      </c>
      <c r="L122" s="4" t="s">
        <v>833</v>
      </c>
      <c r="M122" s="5">
        <v>17004</v>
      </c>
      <c r="N122" s="2" t="s">
        <v>822</v>
      </c>
      <c r="O122" s="5">
        <v>270</v>
      </c>
      <c r="P122" s="2" t="s">
        <v>820</v>
      </c>
      <c r="Q122" s="5">
        <v>6010</v>
      </c>
      <c r="R122" s="2" t="s">
        <v>859</v>
      </c>
      <c r="T122" s="2"/>
    </row>
    <row r="123" spans="1:20" x14ac:dyDescent="0.2">
      <c r="A123" s="103"/>
      <c r="B123" s="28" t="s">
        <v>226</v>
      </c>
      <c r="C123" s="22" t="s">
        <v>818</v>
      </c>
      <c r="D123" s="2" t="s">
        <v>818</v>
      </c>
      <c r="E123" s="5">
        <v>3021</v>
      </c>
      <c r="F123" s="2" t="b">
        <v>1</v>
      </c>
      <c r="G123" s="5">
        <v>2336</v>
      </c>
      <c r="H123" s="2" t="s">
        <v>818</v>
      </c>
      <c r="I123" s="5">
        <v>4010</v>
      </c>
      <c r="J123" s="64" t="s">
        <v>833</v>
      </c>
      <c r="K123" s="5">
        <v>900263</v>
      </c>
      <c r="L123" s="4" t="s">
        <v>833</v>
      </c>
      <c r="M123" s="5">
        <v>11429</v>
      </c>
      <c r="N123" s="2" t="s">
        <v>822</v>
      </c>
      <c r="O123" s="5">
        <v>267</v>
      </c>
      <c r="P123" s="2" t="s">
        <v>820</v>
      </c>
      <c r="Q123" s="5">
        <v>1760</v>
      </c>
      <c r="R123" s="2" t="s">
        <v>859</v>
      </c>
      <c r="T123" s="2"/>
    </row>
    <row r="124" spans="1:20" x14ac:dyDescent="0.2">
      <c r="A124" s="103"/>
      <c r="B124" s="28" t="s">
        <v>227</v>
      </c>
      <c r="C124" s="22" t="s">
        <v>818</v>
      </c>
      <c r="D124" s="2" t="s">
        <v>818</v>
      </c>
      <c r="E124" s="5">
        <v>23989</v>
      </c>
      <c r="F124" s="2" t="s">
        <v>883</v>
      </c>
      <c r="G124" s="5">
        <v>301841</v>
      </c>
      <c r="H124" s="64" t="s">
        <v>837</v>
      </c>
      <c r="I124" s="5">
        <v>910047</v>
      </c>
      <c r="J124" s="2" t="b">
        <v>1</v>
      </c>
      <c r="K124" s="5">
        <v>11038</v>
      </c>
      <c r="L124" s="4" t="s">
        <v>833</v>
      </c>
      <c r="M124" s="5">
        <v>7059</v>
      </c>
      <c r="N124" s="2" t="s">
        <v>822</v>
      </c>
      <c r="O124" s="5">
        <v>255</v>
      </c>
      <c r="P124" s="2" t="s">
        <v>820</v>
      </c>
      <c r="Q124" s="5">
        <v>1208</v>
      </c>
      <c r="R124" s="2" t="s">
        <v>859</v>
      </c>
      <c r="T124" s="2"/>
    </row>
    <row r="125" spans="1:20" x14ac:dyDescent="0.2">
      <c r="A125" s="103"/>
      <c r="B125" s="28" t="s">
        <v>228</v>
      </c>
      <c r="C125" s="22" t="s">
        <v>820</v>
      </c>
      <c r="D125" s="2" t="s">
        <v>820</v>
      </c>
      <c r="E125" s="5">
        <v>441</v>
      </c>
      <c r="F125" s="2" t="b">
        <v>0</v>
      </c>
      <c r="G125" s="5">
        <v>2116</v>
      </c>
      <c r="H125" s="75" t="s">
        <v>820</v>
      </c>
      <c r="I125" s="5">
        <v>5885</v>
      </c>
      <c r="J125" s="2" t="b">
        <v>0</v>
      </c>
      <c r="K125" s="5">
        <v>2406</v>
      </c>
      <c r="L125" s="4" t="s">
        <v>833</v>
      </c>
      <c r="M125" s="5">
        <v>5904</v>
      </c>
      <c r="N125" s="2" t="s">
        <v>822</v>
      </c>
      <c r="O125" s="5">
        <v>256</v>
      </c>
      <c r="P125" s="2" t="s">
        <v>820</v>
      </c>
      <c r="Q125" s="5">
        <v>981</v>
      </c>
      <c r="R125" s="2" t="s">
        <v>859</v>
      </c>
      <c r="T125" s="2"/>
    </row>
    <row r="126" spans="1:20" x14ac:dyDescent="0.2">
      <c r="A126" s="103"/>
      <c r="B126" s="28" t="s">
        <v>229</v>
      </c>
      <c r="C126" s="22" t="s">
        <v>818</v>
      </c>
      <c r="D126" s="2" t="s">
        <v>818</v>
      </c>
      <c r="E126" s="5">
        <v>617</v>
      </c>
      <c r="F126" s="2" t="s">
        <v>883</v>
      </c>
      <c r="G126" s="5">
        <v>302325</v>
      </c>
      <c r="H126" s="2" t="s">
        <v>818</v>
      </c>
      <c r="I126" s="5">
        <v>6237</v>
      </c>
      <c r="J126" s="2" t="b">
        <v>1</v>
      </c>
      <c r="K126" s="5">
        <v>10179</v>
      </c>
      <c r="L126" s="4" t="s">
        <v>833</v>
      </c>
      <c r="M126" s="5">
        <v>9095</v>
      </c>
      <c r="N126" s="2" t="s">
        <v>822</v>
      </c>
      <c r="O126" s="5">
        <v>278</v>
      </c>
      <c r="P126" s="2" t="s">
        <v>820</v>
      </c>
      <c r="Q126" s="5">
        <v>875</v>
      </c>
      <c r="R126" s="2" t="s">
        <v>859</v>
      </c>
      <c r="T126" s="2"/>
    </row>
    <row r="127" spans="1:20" x14ac:dyDescent="0.2">
      <c r="A127" s="103"/>
      <c r="B127" s="28" t="s">
        <v>230</v>
      </c>
      <c r="C127" s="22" t="s">
        <v>818</v>
      </c>
      <c r="D127" s="2" t="s">
        <v>818</v>
      </c>
      <c r="E127" s="5">
        <v>626</v>
      </c>
      <c r="F127" s="2" t="s">
        <v>883</v>
      </c>
      <c r="G127" s="5">
        <v>302086</v>
      </c>
      <c r="H127" s="2" t="s">
        <v>818</v>
      </c>
      <c r="I127" s="5">
        <v>6975</v>
      </c>
      <c r="J127" s="64" t="s">
        <v>833</v>
      </c>
      <c r="K127" s="5">
        <v>900395</v>
      </c>
      <c r="L127" s="4" t="s">
        <v>833</v>
      </c>
      <c r="M127" s="5">
        <v>901804</v>
      </c>
      <c r="N127" s="2" t="s">
        <v>822</v>
      </c>
      <c r="O127" s="5">
        <v>271</v>
      </c>
      <c r="P127" s="2" t="s">
        <v>820</v>
      </c>
      <c r="Q127" s="5">
        <v>741</v>
      </c>
      <c r="R127" s="2" t="s">
        <v>859</v>
      </c>
      <c r="T127" s="2"/>
    </row>
    <row r="128" spans="1:20" s="8" customFormat="1" ht="21" thickBot="1" x14ac:dyDescent="0.25">
      <c r="A128" s="104"/>
      <c r="B128" s="30" t="s">
        <v>231</v>
      </c>
      <c r="C128" s="23" t="s">
        <v>820</v>
      </c>
      <c r="D128" s="9" t="s">
        <v>820</v>
      </c>
      <c r="E128" s="7">
        <v>540</v>
      </c>
      <c r="F128" s="6" t="b">
        <v>0</v>
      </c>
      <c r="G128" s="7">
        <v>2245</v>
      </c>
      <c r="H128" s="77" t="s">
        <v>820</v>
      </c>
      <c r="I128" s="7">
        <v>8794</v>
      </c>
      <c r="J128" s="9" t="b">
        <v>0</v>
      </c>
      <c r="K128" s="7">
        <v>4273</v>
      </c>
      <c r="L128" s="6" t="s">
        <v>833</v>
      </c>
      <c r="M128" s="7">
        <v>6185</v>
      </c>
      <c r="N128" s="9" t="s">
        <v>822</v>
      </c>
      <c r="O128" s="7">
        <v>273</v>
      </c>
      <c r="P128" s="9" t="s">
        <v>820</v>
      </c>
      <c r="Q128" s="7">
        <v>2046</v>
      </c>
      <c r="R128" s="9" t="s">
        <v>859</v>
      </c>
      <c r="S128" s="86"/>
      <c r="T128" s="9"/>
    </row>
    <row r="129" spans="1:20" x14ac:dyDescent="0.2">
      <c r="A129" s="102" t="s">
        <v>260</v>
      </c>
      <c r="B129" s="28" t="s">
        <v>233</v>
      </c>
      <c r="C129" s="61" t="s">
        <v>818</v>
      </c>
      <c r="D129" s="2" t="s">
        <v>818</v>
      </c>
      <c r="E129" s="5">
        <v>1351</v>
      </c>
      <c r="F129" s="2" t="b">
        <v>0</v>
      </c>
      <c r="G129" s="5">
        <v>2269</v>
      </c>
      <c r="H129" s="2" t="s">
        <v>819</v>
      </c>
      <c r="I129" s="5">
        <v>2985</v>
      </c>
      <c r="J129" s="2" t="b">
        <v>1</v>
      </c>
      <c r="K129" s="5">
        <v>2502</v>
      </c>
      <c r="L129" s="4" t="s">
        <v>833</v>
      </c>
      <c r="M129" s="5">
        <v>6575</v>
      </c>
      <c r="N129" s="2" t="s">
        <v>822</v>
      </c>
      <c r="O129" s="5">
        <v>276</v>
      </c>
      <c r="P129" s="64" t="s">
        <v>838</v>
      </c>
      <c r="Q129" s="5">
        <v>526</v>
      </c>
      <c r="R129" s="2" t="s">
        <v>859</v>
      </c>
      <c r="S129" s="2" t="s">
        <v>887</v>
      </c>
      <c r="T129" s="2"/>
    </row>
    <row r="130" spans="1:20" x14ac:dyDescent="0.2">
      <c r="A130" s="103"/>
      <c r="B130" s="28" t="s">
        <v>234</v>
      </c>
      <c r="C130" s="61" t="s">
        <v>818</v>
      </c>
      <c r="D130" s="2" t="s">
        <v>818</v>
      </c>
      <c r="E130" s="5">
        <v>730</v>
      </c>
      <c r="F130" s="2" t="b">
        <v>1</v>
      </c>
      <c r="G130" s="5">
        <v>182087</v>
      </c>
      <c r="H130" s="2" t="s">
        <v>819</v>
      </c>
      <c r="I130" s="5">
        <v>3026</v>
      </c>
      <c r="J130" s="2" t="b">
        <v>1</v>
      </c>
      <c r="K130" s="5">
        <v>7122</v>
      </c>
      <c r="L130" s="4" t="s">
        <v>833</v>
      </c>
      <c r="M130" s="5">
        <v>6373</v>
      </c>
      <c r="N130" s="2" t="s">
        <v>823</v>
      </c>
      <c r="O130" s="5">
        <v>534</v>
      </c>
      <c r="P130" s="2" t="s">
        <v>818</v>
      </c>
      <c r="Q130" s="5">
        <v>10398</v>
      </c>
      <c r="R130" s="2" t="s">
        <v>859</v>
      </c>
      <c r="S130" s="2" t="s">
        <v>887</v>
      </c>
      <c r="T130" s="2"/>
    </row>
    <row r="131" spans="1:20" x14ac:dyDescent="0.2">
      <c r="A131" s="103"/>
      <c r="B131" s="28" t="s">
        <v>235</v>
      </c>
      <c r="C131" s="61" t="s">
        <v>818</v>
      </c>
      <c r="D131" s="2" t="s">
        <v>818</v>
      </c>
      <c r="E131" s="5">
        <v>1256</v>
      </c>
      <c r="F131" s="2" t="b">
        <v>1</v>
      </c>
      <c r="G131" s="5">
        <v>182116</v>
      </c>
      <c r="H131" s="2" t="s">
        <v>819</v>
      </c>
      <c r="I131" s="5">
        <v>3108</v>
      </c>
      <c r="J131" s="2" t="b">
        <v>1</v>
      </c>
      <c r="K131" s="5">
        <v>5846</v>
      </c>
      <c r="L131" s="4" t="s">
        <v>833</v>
      </c>
      <c r="M131" s="5">
        <v>6299</v>
      </c>
      <c r="N131" s="2" t="s">
        <v>823</v>
      </c>
      <c r="O131" s="5">
        <v>583</v>
      </c>
      <c r="P131" s="2" t="s">
        <v>818</v>
      </c>
      <c r="Q131" s="5">
        <v>26740</v>
      </c>
      <c r="R131" s="2" t="s">
        <v>859</v>
      </c>
      <c r="S131" s="2" t="s">
        <v>887</v>
      </c>
      <c r="T131" s="2"/>
    </row>
    <row r="132" spans="1:20" x14ac:dyDescent="0.2">
      <c r="A132" s="103"/>
      <c r="B132" s="28" t="s">
        <v>236</v>
      </c>
      <c r="C132" s="61" t="s">
        <v>818</v>
      </c>
      <c r="D132" s="2" t="s">
        <v>818</v>
      </c>
      <c r="E132" s="5">
        <v>1326</v>
      </c>
      <c r="F132" s="2" t="b">
        <v>1</v>
      </c>
      <c r="G132" s="5">
        <v>193126</v>
      </c>
      <c r="H132" s="2" t="s">
        <v>819</v>
      </c>
      <c r="I132" s="5">
        <v>3297</v>
      </c>
      <c r="J132" s="2" t="b">
        <v>1</v>
      </c>
      <c r="K132" s="5">
        <v>3747</v>
      </c>
      <c r="L132" s="4" t="s">
        <v>833</v>
      </c>
      <c r="M132" s="5">
        <v>7846</v>
      </c>
      <c r="N132" s="2" t="s">
        <v>822</v>
      </c>
      <c r="O132" s="5">
        <v>267</v>
      </c>
      <c r="P132" s="64" t="s">
        <v>838</v>
      </c>
      <c r="Q132" s="5">
        <v>464</v>
      </c>
      <c r="R132" s="2" t="s">
        <v>859</v>
      </c>
      <c r="S132" s="2" t="s">
        <v>887</v>
      </c>
      <c r="T132" s="2"/>
    </row>
    <row r="133" spans="1:20" x14ac:dyDescent="0.2">
      <c r="A133" s="103"/>
      <c r="B133" s="28" t="s">
        <v>237</v>
      </c>
      <c r="C133" s="61" t="s">
        <v>818</v>
      </c>
      <c r="D133" s="2" t="s">
        <v>837</v>
      </c>
      <c r="E133" s="5">
        <v>900490</v>
      </c>
      <c r="F133" s="2" t="s">
        <v>883</v>
      </c>
      <c r="G133" s="5">
        <v>302860</v>
      </c>
      <c r="H133" s="2" t="s">
        <v>819</v>
      </c>
      <c r="I133" s="5">
        <v>2661</v>
      </c>
      <c r="J133" s="2" t="b">
        <v>1</v>
      </c>
      <c r="K133" s="5">
        <v>3072</v>
      </c>
      <c r="L133" s="4" t="s">
        <v>833</v>
      </c>
      <c r="M133" s="5">
        <v>5166</v>
      </c>
      <c r="N133" s="2" t="s">
        <v>823</v>
      </c>
      <c r="O133" s="5">
        <v>823</v>
      </c>
      <c r="P133" s="2" t="s">
        <v>820</v>
      </c>
      <c r="Q133" s="5">
        <v>814</v>
      </c>
      <c r="R133" s="2" t="s">
        <v>859</v>
      </c>
      <c r="S133" s="2" t="s">
        <v>887</v>
      </c>
      <c r="T133" s="2"/>
    </row>
    <row r="134" spans="1:20" x14ac:dyDescent="0.2">
      <c r="A134" s="103"/>
      <c r="B134" s="28" t="s">
        <v>238</v>
      </c>
      <c r="C134" s="61" t="s">
        <v>818</v>
      </c>
      <c r="D134" s="2" t="s">
        <v>837</v>
      </c>
      <c r="E134" s="5">
        <v>900755</v>
      </c>
      <c r="F134" s="2" t="b">
        <v>1</v>
      </c>
      <c r="G134" s="5">
        <v>39437</v>
      </c>
      <c r="H134" s="2" t="s">
        <v>819</v>
      </c>
      <c r="I134" s="5">
        <v>2756</v>
      </c>
      <c r="J134" s="2" t="b">
        <v>1</v>
      </c>
      <c r="K134" s="5">
        <v>3996</v>
      </c>
      <c r="L134" s="4" t="s">
        <v>833</v>
      </c>
      <c r="M134" s="5">
        <v>6551</v>
      </c>
      <c r="N134" s="2" t="s">
        <v>823</v>
      </c>
      <c r="O134" s="5">
        <v>553</v>
      </c>
      <c r="P134" s="2" t="s">
        <v>820</v>
      </c>
      <c r="Q134" s="5">
        <v>1032</v>
      </c>
      <c r="R134" s="2" t="s">
        <v>859</v>
      </c>
      <c r="S134" s="2" t="s">
        <v>887</v>
      </c>
      <c r="T134" s="2"/>
    </row>
    <row r="135" spans="1:20" x14ac:dyDescent="0.2">
      <c r="A135" s="103"/>
      <c r="B135" s="28" t="s">
        <v>239</v>
      </c>
      <c r="C135" s="61" t="s">
        <v>818</v>
      </c>
      <c r="D135" s="2" t="s">
        <v>837</v>
      </c>
      <c r="E135" s="5">
        <v>901223</v>
      </c>
      <c r="F135" s="2" t="s">
        <v>883</v>
      </c>
      <c r="G135" s="5">
        <v>302789</v>
      </c>
      <c r="H135" s="2" t="s">
        <v>819</v>
      </c>
      <c r="I135" s="5">
        <v>2814</v>
      </c>
      <c r="J135" s="2" t="b">
        <v>1</v>
      </c>
      <c r="K135" s="5">
        <v>3205</v>
      </c>
      <c r="L135" s="4" t="s">
        <v>833</v>
      </c>
      <c r="M135" s="5">
        <v>4931</v>
      </c>
      <c r="N135" s="2" t="s">
        <v>823</v>
      </c>
      <c r="O135" s="5">
        <v>310</v>
      </c>
      <c r="P135" s="2" t="s">
        <v>820</v>
      </c>
      <c r="Q135" s="5">
        <v>816</v>
      </c>
      <c r="R135" s="2" t="s">
        <v>859</v>
      </c>
      <c r="S135" s="2" t="s">
        <v>887</v>
      </c>
      <c r="T135" s="2"/>
    </row>
    <row r="136" spans="1:20" x14ac:dyDescent="0.2">
      <c r="A136" s="103"/>
      <c r="B136" s="28" t="s">
        <v>240</v>
      </c>
      <c r="C136" s="61" t="s">
        <v>818</v>
      </c>
      <c r="D136" s="2" t="s">
        <v>837</v>
      </c>
      <c r="E136" s="5">
        <v>900923</v>
      </c>
      <c r="F136" s="2" t="s">
        <v>883</v>
      </c>
      <c r="G136" s="5">
        <v>166321</v>
      </c>
      <c r="H136" s="2" t="s">
        <v>819</v>
      </c>
      <c r="I136" s="5">
        <v>2699</v>
      </c>
      <c r="J136" s="2" t="b">
        <v>1</v>
      </c>
      <c r="K136" s="5">
        <v>3476</v>
      </c>
      <c r="L136" s="4" t="s">
        <v>833</v>
      </c>
      <c r="M136" s="5">
        <v>6447</v>
      </c>
      <c r="N136" s="2" t="s">
        <v>823</v>
      </c>
      <c r="O136" s="5">
        <v>499</v>
      </c>
      <c r="P136" s="2" t="s">
        <v>820</v>
      </c>
      <c r="Q136" s="5">
        <v>761</v>
      </c>
      <c r="R136" s="2" t="s">
        <v>859</v>
      </c>
      <c r="S136" s="2" t="s">
        <v>887</v>
      </c>
      <c r="T136" s="2"/>
    </row>
    <row r="137" spans="1:20" x14ac:dyDescent="0.2">
      <c r="A137" s="103"/>
      <c r="B137" s="48" t="s">
        <v>241</v>
      </c>
      <c r="C137" s="61" t="s">
        <v>818</v>
      </c>
      <c r="D137" s="2" t="s">
        <v>838</v>
      </c>
      <c r="E137" s="5">
        <v>1110</v>
      </c>
      <c r="F137" s="2" t="s">
        <v>883</v>
      </c>
      <c r="G137" s="5">
        <v>302917</v>
      </c>
      <c r="H137" s="2" t="s">
        <v>819</v>
      </c>
      <c r="I137" s="5">
        <v>2823</v>
      </c>
      <c r="J137" s="2" t="b">
        <v>1</v>
      </c>
      <c r="K137" s="5">
        <v>3346</v>
      </c>
      <c r="L137" s="4" t="s">
        <v>833</v>
      </c>
      <c r="M137" s="5">
        <v>5427</v>
      </c>
      <c r="N137" s="2" t="s">
        <v>823</v>
      </c>
      <c r="O137" s="5">
        <v>530</v>
      </c>
      <c r="P137" s="64" t="s">
        <v>838</v>
      </c>
      <c r="Q137" s="5">
        <v>458</v>
      </c>
      <c r="R137" s="2" t="s">
        <v>859</v>
      </c>
      <c r="S137" s="2" t="s">
        <v>887</v>
      </c>
      <c r="T137" s="2" t="s">
        <v>811</v>
      </c>
    </row>
    <row r="138" spans="1:20" x14ac:dyDescent="0.2">
      <c r="A138" s="103"/>
      <c r="B138" s="28" t="s">
        <v>242</v>
      </c>
      <c r="C138" s="61" t="s">
        <v>818</v>
      </c>
      <c r="D138" s="2" t="s">
        <v>818</v>
      </c>
      <c r="E138" s="5">
        <v>1969</v>
      </c>
      <c r="F138" s="2" t="b">
        <v>1</v>
      </c>
      <c r="G138" s="5">
        <v>182730</v>
      </c>
      <c r="H138" s="2" t="s">
        <v>819</v>
      </c>
      <c r="I138" s="5">
        <v>3241</v>
      </c>
      <c r="J138" s="2" t="b">
        <v>1</v>
      </c>
      <c r="K138" s="5">
        <v>4377</v>
      </c>
      <c r="L138" s="4" t="s">
        <v>833</v>
      </c>
      <c r="M138" s="5">
        <v>5672</v>
      </c>
      <c r="N138" s="2" t="s">
        <v>823</v>
      </c>
      <c r="O138" s="5">
        <v>751</v>
      </c>
      <c r="P138" s="2" t="s">
        <v>818</v>
      </c>
      <c r="Q138" s="5">
        <v>1109</v>
      </c>
      <c r="R138" s="2" t="s">
        <v>859</v>
      </c>
      <c r="S138" s="2" t="s">
        <v>887</v>
      </c>
      <c r="T138" s="2"/>
    </row>
    <row r="139" spans="1:20" x14ac:dyDescent="0.2">
      <c r="A139" s="103"/>
      <c r="B139" s="28" t="s">
        <v>243</v>
      </c>
      <c r="C139" s="61" t="s">
        <v>818</v>
      </c>
      <c r="D139" s="2" t="s">
        <v>837</v>
      </c>
      <c r="E139" s="5">
        <v>901290</v>
      </c>
      <c r="F139" s="2" t="b">
        <v>1</v>
      </c>
      <c r="G139" s="5">
        <v>183328</v>
      </c>
      <c r="H139" s="2" t="s">
        <v>819</v>
      </c>
      <c r="I139" s="5">
        <v>3029</v>
      </c>
      <c r="J139" s="2" t="b">
        <v>1</v>
      </c>
      <c r="K139" s="5">
        <v>10456</v>
      </c>
      <c r="L139" s="4" t="s">
        <v>833</v>
      </c>
      <c r="M139" s="5">
        <v>8678</v>
      </c>
      <c r="N139" s="2" t="s">
        <v>823</v>
      </c>
      <c r="O139" s="5">
        <v>639</v>
      </c>
      <c r="P139" s="2" t="s">
        <v>820</v>
      </c>
      <c r="Q139" s="5">
        <v>883</v>
      </c>
      <c r="R139" s="2" t="s">
        <v>859</v>
      </c>
      <c r="S139" s="2" t="s">
        <v>887</v>
      </c>
      <c r="T139" s="2"/>
    </row>
    <row r="140" spans="1:20" x14ac:dyDescent="0.2">
      <c r="A140" s="103"/>
      <c r="B140" s="28" t="s">
        <v>244</v>
      </c>
      <c r="C140" s="61" t="s">
        <v>818</v>
      </c>
      <c r="D140" s="2" t="s">
        <v>837</v>
      </c>
      <c r="E140" s="5">
        <v>900840</v>
      </c>
      <c r="F140" s="2" t="s">
        <v>883</v>
      </c>
      <c r="G140" s="5">
        <v>171651</v>
      </c>
      <c r="H140" s="2" t="s">
        <v>819</v>
      </c>
      <c r="I140" s="5">
        <v>2741</v>
      </c>
      <c r="J140" s="2" t="b">
        <v>1</v>
      </c>
      <c r="K140" s="5">
        <v>3546</v>
      </c>
      <c r="L140" s="4" t="s">
        <v>833</v>
      </c>
      <c r="M140" s="5">
        <v>6410</v>
      </c>
      <c r="N140" s="2" t="s">
        <v>822</v>
      </c>
      <c r="O140" s="5">
        <v>267</v>
      </c>
      <c r="P140" s="64" t="s">
        <v>838</v>
      </c>
      <c r="Q140" s="5">
        <v>497</v>
      </c>
      <c r="R140" s="2" t="s">
        <v>859</v>
      </c>
      <c r="S140" s="2" t="s">
        <v>887</v>
      </c>
      <c r="T140" s="2"/>
    </row>
    <row r="141" spans="1:20" x14ac:dyDescent="0.2">
      <c r="A141" s="103"/>
      <c r="B141" s="28" t="s">
        <v>245</v>
      </c>
      <c r="C141" s="61" t="s">
        <v>818</v>
      </c>
      <c r="D141" s="2" t="s">
        <v>837</v>
      </c>
      <c r="E141" s="5">
        <v>900827</v>
      </c>
      <c r="F141" s="2" t="b">
        <v>1</v>
      </c>
      <c r="G141" s="5">
        <v>6424</v>
      </c>
      <c r="H141" s="2" t="s">
        <v>819</v>
      </c>
      <c r="I141" s="5">
        <v>2606</v>
      </c>
      <c r="J141" s="2" t="b">
        <v>1</v>
      </c>
      <c r="K141" s="5">
        <v>2454</v>
      </c>
      <c r="L141" s="4" t="s">
        <v>833</v>
      </c>
      <c r="M141" s="5">
        <v>4873</v>
      </c>
      <c r="N141" s="2" t="s">
        <v>823</v>
      </c>
      <c r="O141" s="5">
        <v>304</v>
      </c>
      <c r="P141" s="64" t="s">
        <v>838</v>
      </c>
      <c r="Q141" s="5">
        <v>553</v>
      </c>
      <c r="R141" s="2" t="s">
        <v>859</v>
      </c>
      <c r="S141" s="2" t="s">
        <v>887</v>
      </c>
      <c r="T141" s="2"/>
    </row>
    <row r="142" spans="1:20" x14ac:dyDescent="0.2">
      <c r="A142" s="103"/>
      <c r="B142" s="28" t="s">
        <v>246</v>
      </c>
      <c r="C142" s="61" t="s">
        <v>818</v>
      </c>
      <c r="D142" s="2" t="s">
        <v>818</v>
      </c>
      <c r="E142" s="5">
        <v>12862</v>
      </c>
      <c r="F142" s="2" t="b">
        <v>1</v>
      </c>
      <c r="G142" s="5">
        <v>183123</v>
      </c>
      <c r="H142" s="2" t="s">
        <v>819</v>
      </c>
      <c r="I142" s="5">
        <v>3624</v>
      </c>
      <c r="J142" s="2" t="b">
        <v>1</v>
      </c>
      <c r="K142" s="5">
        <v>7298</v>
      </c>
      <c r="L142" s="4" t="s">
        <v>833</v>
      </c>
      <c r="M142" s="5">
        <v>5760</v>
      </c>
      <c r="N142" s="2" t="s">
        <v>876</v>
      </c>
      <c r="O142" s="5">
        <v>543</v>
      </c>
      <c r="P142" s="64" t="s">
        <v>838</v>
      </c>
      <c r="Q142" s="5">
        <v>1014</v>
      </c>
      <c r="R142" s="2" t="s">
        <v>859</v>
      </c>
      <c r="S142" s="2" t="s">
        <v>887</v>
      </c>
      <c r="T142" s="2"/>
    </row>
    <row r="143" spans="1:20" x14ac:dyDescent="0.2">
      <c r="A143" s="103"/>
      <c r="B143" s="28" t="s">
        <v>247</v>
      </c>
      <c r="C143" s="61" t="s">
        <v>818</v>
      </c>
      <c r="D143" s="2" t="s">
        <v>818</v>
      </c>
      <c r="E143" s="5">
        <v>4180</v>
      </c>
      <c r="F143" s="2" t="b">
        <v>1</v>
      </c>
      <c r="G143" s="5">
        <v>2673</v>
      </c>
      <c r="H143" s="2" t="s">
        <v>819</v>
      </c>
      <c r="I143" s="5">
        <v>2905</v>
      </c>
      <c r="J143" s="2" t="b">
        <v>1</v>
      </c>
      <c r="K143" s="5">
        <v>5819</v>
      </c>
      <c r="L143" s="4" t="s">
        <v>833</v>
      </c>
      <c r="M143" s="5">
        <v>5371</v>
      </c>
      <c r="N143" s="2" t="s">
        <v>823</v>
      </c>
      <c r="O143" s="5">
        <v>1151</v>
      </c>
      <c r="P143" s="2" t="s">
        <v>818</v>
      </c>
      <c r="Q143" s="5">
        <v>54593</v>
      </c>
      <c r="R143" s="2" t="s">
        <v>859</v>
      </c>
      <c r="S143" s="2" t="s">
        <v>887</v>
      </c>
      <c r="T143" s="2"/>
    </row>
    <row r="144" spans="1:20" x14ac:dyDescent="0.2">
      <c r="A144" s="103"/>
      <c r="B144" s="28" t="s">
        <v>248</v>
      </c>
      <c r="C144" s="61" t="s">
        <v>818</v>
      </c>
      <c r="D144" s="2" t="s">
        <v>818</v>
      </c>
      <c r="E144" s="5">
        <v>2895</v>
      </c>
      <c r="F144" s="2" t="b">
        <v>1</v>
      </c>
      <c r="G144" s="5">
        <v>1596</v>
      </c>
      <c r="H144" s="2" t="s">
        <v>819</v>
      </c>
      <c r="I144" s="5">
        <v>2891</v>
      </c>
      <c r="J144" s="2" t="b">
        <v>1</v>
      </c>
      <c r="K144" s="5">
        <v>5985</v>
      </c>
      <c r="L144" s="4" t="s">
        <v>833</v>
      </c>
      <c r="M144" s="5">
        <v>5320</v>
      </c>
      <c r="N144" s="2" t="s">
        <v>876</v>
      </c>
      <c r="O144" s="5">
        <v>385</v>
      </c>
      <c r="P144" s="2" t="s">
        <v>818</v>
      </c>
      <c r="Q144" s="5">
        <v>7674</v>
      </c>
      <c r="R144" s="2" t="s">
        <v>859</v>
      </c>
      <c r="S144" s="2" t="s">
        <v>887</v>
      </c>
      <c r="T144" s="2"/>
    </row>
    <row r="145" spans="1:20" x14ac:dyDescent="0.2">
      <c r="A145" s="103"/>
      <c r="B145" s="28" t="s">
        <v>249</v>
      </c>
      <c r="C145" s="61" t="s">
        <v>818</v>
      </c>
      <c r="D145" s="2" t="s">
        <v>818</v>
      </c>
      <c r="E145" s="5">
        <v>1990</v>
      </c>
      <c r="F145" s="2" t="b">
        <v>1</v>
      </c>
      <c r="G145" s="5">
        <v>182393</v>
      </c>
      <c r="H145" s="2" t="s">
        <v>819</v>
      </c>
      <c r="I145" s="5">
        <v>3027</v>
      </c>
      <c r="J145" s="2" t="b">
        <v>1</v>
      </c>
      <c r="K145" s="5">
        <v>7585</v>
      </c>
      <c r="L145" s="4" t="s">
        <v>833</v>
      </c>
      <c r="M145" s="5">
        <v>5737</v>
      </c>
      <c r="N145" s="2" t="s">
        <v>876</v>
      </c>
      <c r="O145" s="5">
        <v>412</v>
      </c>
      <c r="P145" s="2" t="s">
        <v>818</v>
      </c>
      <c r="Q145" s="5">
        <v>7996</v>
      </c>
      <c r="R145" s="2" t="s">
        <v>859</v>
      </c>
      <c r="S145" s="2" t="s">
        <v>887</v>
      </c>
      <c r="T145" s="2"/>
    </row>
    <row r="146" spans="1:20" x14ac:dyDescent="0.2">
      <c r="A146" s="103"/>
      <c r="B146" s="28" t="s">
        <v>250</v>
      </c>
      <c r="C146" s="61" t="s">
        <v>818</v>
      </c>
      <c r="D146" s="2" t="s">
        <v>818</v>
      </c>
      <c r="E146" s="5">
        <v>28396</v>
      </c>
      <c r="F146" s="2" t="b">
        <v>1</v>
      </c>
      <c r="G146" s="5">
        <v>183164</v>
      </c>
      <c r="H146" s="2" t="s">
        <v>819</v>
      </c>
      <c r="I146" s="5">
        <v>7067</v>
      </c>
      <c r="J146" s="2" t="b">
        <v>1</v>
      </c>
      <c r="K146" s="5">
        <v>9851</v>
      </c>
      <c r="L146" s="4" t="s">
        <v>833</v>
      </c>
      <c r="M146" s="5">
        <v>11076</v>
      </c>
      <c r="N146" s="2" t="s">
        <v>822</v>
      </c>
      <c r="O146" s="5">
        <v>278</v>
      </c>
      <c r="P146" s="2" t="s">
        <v>837</v>
      </c>
      <c r="Q146" s="5">
        <v>910051</v>
      </c>
      <c r="R146" s="2" t="s">
        <v>859</v>
      </c>
      <c r="S146" s="2" t="s">
        <v>887</v>
      </c>
      <c r="T146" s="2"/>
    </row>
    <row r="147" spans="1:20" x14ac:dyDescent="0.2">
      <c r="A147" s="103"/>
      <c r="B147" s="28" t="s">
        <v>251</v>
      </c>
      <c r="C147" s="61" t="s">
        <v>818</v>
      </c>
      <c r="D147" s="2" t="s">
        <v>818</v>
      </c>
      <c r="E147" s="5">
        <v>175244</v>
      </c>
      <c r="F147" s="2" t="b">
        <v>1</v>
      </c>
      <c r="G147" s="5">
        <v>182855</v>
      </c>
      <c r="H147" s="2" t="s">
        <v>819</v>
      </c>
      <c r="I147" s="5">
        <v>3527</v>
      </c>
      <c r="J147" s="2" t="b">
        <v>1</v>
      </c>
      <c r="K147" s="5">
        <v>5121</v>
      </c>
      <c r="L147" s="4" t="s">
        <v>833</v>
      </c>
      <c r="M147" s="5">
        <v>7299</v>
      </c>
      <c r="N147" s="2" t="s">
        <v>823</v>
      </c>
      <c r="O147" s="5">
        <v>635</v>
      </c>
      <c r="P147" s="2" t="s">
        <v>837</v>
      </c>
      <c r="Q147" s="5">
        <v>910067</v>
      </c>
      <c r="R147" s="2" t="s">
        <v>859</v>
      </c>
      <c r="S147" s="2" t="s">
        <v>887</v>
      </c>
      <c r="T147" s="2"/>
    </row>
    <row r="148" spans="1:20" x14ac:dyDescent="0.2">
      <c r="A148" s="103"/>
      <c r="B148" s="28" t="s">
        <v>252</v>
      </c>
      <c r="C148" s="81" t="s">
        <v>818</v>
      </c>
      <c r="D148" s="2" t="s">
        <v>837</v>
      </c>
      <c r="E148" s="5">
        <v>900924</v>
      </c>
      <c r="F148" s="2" t="b">
        <v>1</v>
      </c>
      <c r="G148" s="5">
        <v>182697</v>
      </c>
      <c r="H148" s="2" t="s">
        <v>819</v>
      </c>
      <c r="I148" s="5">
        <v>3060</v>
      </c>
      <c r="J148" s="64" t="s">
        <v>833</v>
      </c>
      <c r="K148" s="5">
        <v>900347</v>
      </c>
      <c r="L148" s="4" t="s">
        <v>833</v>
      </c>
      <c r="M148" s="5">
        <v>16023</v>
      </c>
      <c r="N148" s="2" t="s">
        <v>821</v>
      </c>
      <c r="O148" s="5">
        <v>900279</v>
      </c>
      <c r="P148" s="2" t="s">
        <v>837</v>
      </c>
      <c r="Q148" s="5">
        <v>910054</v>
      </c>
      <c r="R148" s="2" t="s">
        <v>859</v>
      </c>
      <c r="S148" s="2" t="s">
        <v>887</v>
      </c>
      <c r="T148" s="2"/>
    </row>
    <row r="149" spans="1:20" x14ac:dyDescent="0.2">
      <c r="A149" s="103"/>
      <c r="B149" s="28" t="s">
        <v>253</v>
      </c>
      <c r="C149" s="61" t="s">
        <v>818</v>
      </c>
      <c r="D149" s="2" t="s">
        <v>818</v>
      </c>
      <c r="E149" s="5">
        <v>2781</v>
      </c>
      <c r="F149" s="2" t="b">
        <v>1</v>
      </c>
      <c r="G149" s="5">
        <v>5967</v>
      </c>
      <c r="H149" s="2" t="s">
        <v>819</v>
      </c>
      <c r="I149" s="5">
        <v>3373</v>
      </c>
      <c r="J149" s="2" t="b">
        <v>1</v>
      </c>
      <c r="K149" s="5">
        <v>5767</v>
      </c>
      <c r="L149" s="4" t="s">
        <v>833</v>
      </c>
      <c r="M149" s="5">
        <v>8413</v>
      </c>
      <c r="N149" s="2" t="s">
        <v>822</v>
      </c>
      <c r="O149" s="5">
        <v>280</v>
      </c>
      <c r="P149" s="2" t="s">
        <v>838</v>
      </c>
      <c r="Q149" s="5">
        <v>956</v>
      </c>
      <c r="R149" s="2" t="s">
        <v>859</v>
      </c>
      <c r="S149" s="2" t="s">
        <v>887</v>
      </c>
      <c r="T149" s="2"/>
    </row>
    <row r="150" spans="1:20" x14ac:dyDescent="0.2">
      <c r="A150" s="103"/>
      <c r="B150" s="28" t="s">
        <v>254</v>
      </c>
      <c r="C150" s="61" t="s">
        <v>818</v>
      </c>
      <c r="D150" s="2" t="s">
        <v>837</v>
      </c>
      <c r="E150" s="5">
        <v>900882</v>
      </c>
      <c r="F150" s="2" t="b">
        <v>0</v>
      </c>
      <c r="G150" s="5">
        <v>5579</v>
      </c>
      <c r="H150" s="2" t="s">
        <v>819</v>
      </c>
      <c r="I150" s="5">
        <v>5136</v>
      </c>
      <c r="J150" s="2" t="b">
        <v>1</v>
      </c>
      <c r="K150" s="5">
        <v>8437</v>
      </c>
      <c r="L150" s="4" t="s">
        <v>833</v>
      </c>
      <c r="M150" s="5">
        <v>30964</v>
      </c>
      <c r="N150" s="2" t="s">
        <v>822</v>
      </c>
      <c r="O150" s="5">
        <v>261</v>
      </c>
      <c r="P150" s="2" t="s">
        <v>820</v>
      </c>
      <c r="Q150" s="5">
        <v>1793</v>
      </c>
      <c r="R150" s="2" t="s">
        <v>859</v>
      </c>
      <c r="S150" s="2" t="s">
        <v>887</v>
      </c>
      <c r="T150" s="2"/>
    </row>
    <row r="151" spans="1:20" x14ac:dyDescent="0.2">
      <c r="A151" s="103"/>
      <c r="B151" s="28" t="s">
        <v>255</v>
      </c>
      <c r="C151" s="61" t="s">
        <v>818</v>
      </c>
      <c r="D151" s="2" t="s">
        <v>837</v>
      </c>
      <c r="E151" s="5">
        <v>900434</v>
      </c>
      <c r="F151" s="2" t="b">
        <v>0</v>
      </c>
      <c r="G151" s="5">
        <v>10625</v>
      </c>
      <c r="H151" s="2" t="s">
        <v>819</v>
      </c>
      <c r="I151" s="5">
        <v>3591</v>
      </c>
      <c r="J151" s="2" t="b">
        <v>1</v>
      </c>
      <c r="K151" s="5">
        <v>4198</v>
      </c>
      <c r="L151" s="4" t="s">
        <v>833</v>
      </c>
      <c r="M151" s="5">
        <v>29834</v>
      </c>
      <c r="N151" s="2" t="s">
        <v>822</v>
      </c>
      <c r="O151" s="5">
        <v>271</v>
      </c>
      <c r="P151" s="2" t="s">
        <v>820</v>
      </c>
      <c r="Q151" s="5">
        <v>1821</v>
      </c>
      <c r="R151" s="2" t="s">
        <v>859</v>
      </c>
      <c r="S151" s="2" t="s">
        <v>887</v>
      </c>
      <c r="T151" s="2"/>
    </row>
    <row r="152" spans="1:20" x14ac:dyDescent="0.2">
      <c r="A152" s="103"/>
      <c r="B152" s="28" t="s">
        <v>256</v>
      </c>
      <c r="C152" s="61" t="s">
        <v>818</v>
      </c>
      <c r="D152" s="2" t="s">
        <v>818</v>
      </c>
      <c r="E152" s="5">
        <v>4006</v>
      </c>
      <c r="F152" s="2" t="b">
        <v>1</v>
      </c>
      <c r="G152" s="5">
        <v>182993</v>
      </c>
      <c r="H152" s="2" t="s">
        <v>819</v>
      </c>
      <c r="I152" s="5">
        <v>3042</v>
      </c>
      <c r="J152" s="2" t="b">
        <v>1</v>
      </c>
      <c r="K152" s="5">
        <v>5736</v>
      </c>
      <c r="L152" s="4" t="s">
        <v>833</v>
      </c>
      <c r="M152" s="5">
        <v>5644</v>
      </c>
      <c r="N152" s="2" t="s">
        <v>823</v>
      </c>
      <c r="O152" s="5">
        <v>570</v>
      </c>
      <c r="P152" s="2" t="s">
        <v>818</v>
      </c>
      <c r="Q152" s="5">
        <v>154050</v>
      </c>
      <c r="R152" s="2" t="s">
        <v>859</v>
      </c>
      <c r="S152" s="2" t="s">
        <v>887</v>
      </c>
      <c r="T152" s="2"/>
    </row>
    <row r="153" spans="1:20" x14ac:dyDescent="0.2">
      <c r="A153" s="103"/>
      <c r="B153" s="28" t="s">
        <v>257</v>
      </c>
      <c r="C153" s="61" t="s">
        <v>818</v>
      </c>
      <c r="D153" s="2" t="s">
        <v>818</v>
      </c>
      <c r="E153" s="5">
        <v>5104</v>
      </c>
      <c r="F153" s="2" t="b">
        <v>1</v>
      </c>
      <c r="G153" s="5">
        <v>183055</v>
      </c>
      <c r="H153" s="2" t="s">
        <v>819</v>
      </c>
      <c r="I153" s="5">
        <v>3112</v>
      </c>
      <c r="J153" s="2" t="b">
        <v>1</v>
      </c>
      <c r="K153" s="5">
        <v>5133</v>
      </c>
      <c r="L153" s="4" t="s">
        <v>833</v>
      </c>
      <c r="M153" s="5">
        <v>5699</v>
      </c>
      <c r="N153" s="2" t="s">
        <v>876</v>
      </c>
      <c r="O153" s="5">
        <v>408</v>
      </c>
      <c r="P153" s="2" t="s">
        <v>837</v>
      </c>
      <c r="Q153" s="5">
        <v>910049</v>
      </c>
      <c r="R153" s="2" t="s">
        <v>859</v>
      </c>
      <c r="S153" s="2" t="s">
        <v>887</v>
      </c>
      <c r="T153" s="2"/>
    </row>
    <row r="154" spans="1:20" x14ac:dyDescent="0.2">
      <c r="A154" s="103"/>
      <c r="B154" s="28" t="s">
        <v>258</v>
      </c>
      <c r="C154" s="61" t="s">
        <v>818</v>
      </c>
      <c r="D154" s="2" t="s">
        <v>818</v>
      </c>
      <c r="E154" s="5">
        <v>448</v>
      </c>
      <c r="F154" s="2" t="b">
        <v>1</v>
      </c>
      <c r="G154" s="5">
        <v>1630</v>
      </c>
      <c r="H154" s="2" t="s">
        <v>819</v>
      </c>
      <c r="I154" s="5">
        <v>3007</v>
      </c>
      <c r="J154" s="2" t="b">
        <v>1</v>
      </c>
      <c r="K154" s="5">
        <v>2847</v>
      </c>
      <c r="L154" s="4" t="s">
        <v>833</v>
      </c>
      <c r="M154" s="5">
        <v>5341</v>
      </c>
      <c r="N154" s="2" t="s">
        <v>876</v>
      </c>
      <c r="O154" s="5">
        <v>441</v>
      </c>
      <c r="P154" s="2" t="s">
        <v>818</v>
      </c>
      <c r="Q154" s="5">
        <v>3030</v>
      </c>
      <c r="R154" s="2" t="s">
        <v>859</v>
      </c>
      <c r="S154" s="2" t="s">
        <v>887</v>
      </c>
      <c r="T154" s="2"/>
    </row>
    <row r="155" spans="1:20" s="8" customFormat="1" ht="21" thickBot="1" x14ac:dyDescent="0.25">
      <c r="A155" s="104"/>
      <c r="B155" s="30" t="s">
        <v>259</v>
      </c>
      <c r="C155" s="62" t="s">
        <v>818</v>
      </c>
      <c r="D155" s="9" t="s">
        <v>837</v>
      </c>
      <c r="E155" s="7">
        <v>900491</v>
      </c>
      <c r="F155" s="6" t="s">
        <v>883</v>
      </c>
      <c r="G155" s="7">
        <v>302106</v>
      </c>
      <c r="H155" s="9" t="s">
        <v>819</v>
      </c>
      <c r="I155" s="7">
        <v>2970</v>
      </c>
      <c r="J155" s="9" t="b">
        <v>1</v>
      </c>
      <c r="K155" s="7">
        <v>4270</v>
      </c>
      <c r="L155" s="6" t="s">
        <v>833</v>
      </c>
      <c r="M155" s="7">
        <v>5856</v>
      </c>
      <c r="N155" s="9" t="s">
        <v>823</v>
      </c>
      <c r="O155" s="7">
        <v>702</v>
      </c>
      <c r="P155" s="9" t="s">
        <v>820</v>
      </c>
      <c r="Q155" s="7">
        <v>1504</v>
      </c>
      <c r="R155" s="9" t="s">
        <v>859</v>
      </c>
      <c r="S155" s="9" t="s">
        <v>887</v>
      </c>
      <c r="T155" s="9"/>
    </row>
    <row r="156" spans="1:20" x14ac:dyDescent="0.2">
      <c r="A156" s="102" t="s">
        <v>261</v>
      </c>
      <c r="B156" s="44" t="s">
        <v>331</v>
      </c>
      <c r="C156" s="22" t="s">
        <v>818</v>
      </c>
      <c r="D156" s="75" t="s">
        <v>818</v>
      </c>
      <c r="E156" s="5">
        <v>1324</v>
      </c>
      <c r="F156" s="2" t="s">
        <v>883</v>
      </c>
      <c r="G156" s="5">
        <v>122181</v>
      </c>
      <c r="H156" s="2" t="s">
        <v>818</v>
      </c>
      <c r="I156" s="5">
        <v>10350</v>
      </c>
      <c r="J156" s="2" t="b">
        <v>1</v>
      </c>
      <c r="K156" s="5">
        <v>5336</v>
      </c>
      <c r="L156" s="4" t="s">
        <v>838</v>
      </c>
      <c r="M156" s="5">
        <v>3795</v>
      </c>
      <c r="N156" s="2" t="s">
        <v>876</v>
      </c>
      <c r="O156" s="5">
        <v>330</v>
      </c>
      <c r="P156" s="2" t="s">
        <v>818</v>
      </c>
      <c r="Q156" s="5">
        <v>1232</v>
      </c>
      <c r="R156" s="2" t="s">
        <v>101</v>
      </c>
      <c r="T156" s="2"/>
    </row>
    <row r="157" spans="1:20" x14ac:dyDescent="0.2">
      <c r="A157" s="103"/>
      <c r="B157" s="44" t="s">
        <v>330</v>
      </c>
      <c r="C157" s="22" t="s">
        <v>818</v>
      </c>
      <c r="D157" s="2" t="s">
        <v>819</v>
      </c>
      <c r="E157" s="5">
        <v>1319</v>
      </c>
      <c r="F157" s="2" t="b">
        <v>1</v>
      </c>
      <c r="G157" s="5">
        <v>184089</v>
      </c>
      <c r="H157" s="2" t="s">
        <v>819</v>
      </c>
      <c r="I157" s="5">
        <v>6166</v>
      </c>
      <c r="J157" s="64" t="s">
        <v>833</v>
      </c>
      <c r="K157" s="5">
        <v>900327</v>
      </c>
      <c r="L157" s="4" t="s">
        <v>833</v>
      </c>
      <c r="M157" s="5">
        <v>4631</v>
      </c>
      <c r="N157" s="2" t="s">
        <v>823</v>
      </c>
      <c r="O157" s="5">
        <v>557</v>
      </c>
      <c r="P157" s="2" t="s">
        <v>818</v>
      </c>
      <c r="Q157" s="5">
        <v>1270</v>
      </c>
      <c r="R157" s="2" t="s">
        <v>101</v>
      </c>
      <c r="T157" s="2"/>
    </row>
    <row r="158" spans="1:20" x14ac:dyDescent="0.2">
      <c r="A158" s="103"/>
      <c r="B158" s="44" t="s">
        <v>329</v>
      </c>
      <c r="C158" s="22" t="s">
        <v>818</v>
      </c>
      <c r="D158" s="75" t="s">
        <v>818</v>
      </c>
      <c r="E158" s="5">
        <v>1321</v>
      </c>
      <c r="F158" s="2" t="b">
        <v>1</v>
      </c>
      <c r="G158" s="5">
        <v>4311</v>
      </c>
      <c r="H158" s="2" t="s">
        <v>818</v>
      </c>
      <c r="I158" s="5">
        <v>9208</v>
      </c>
      <c r="J158" s="2" t="b">
        <v>1</v>
      </c>
      <c r="K158" s="5">
        <v>3142</v>
      </c>
      <c r="L158" s="4" t="s">
        <v>838</v>
      </c>
      <c r="M158" s="5">
        <v>3787</v>
      </c>
      <c r="N158" s="2" t="s">
        <v>876</v>
      </c>
      <c r="O158" s="5">
        <v>302</v>
      </c>
      <c r="P158" s="2" t="s">
        <v>818</v>
      </c>
      <c r="Q158" s="5">
        <v>1310</v>
      </c>
      <c r="R158" s="2" t="s">
        <v>812</v>
      </c>
      <c r="T158" s="2"/>
    </row>
    <row r="159" spans="1:20" x14ac:dyDescent="0.2">
      <c r="A159" s="103"/>
      <c r="B159" s="44" t="s">
        <v>328</v>
      </c>
      <c r="C159" s="22" t="s">
        <v>818</v>
      </c>
      <c r="D159" s="75" t="s">
        <v>818</v>
      </c>
      <c r="E159" s="5">
        <v>1409</v>
      </c>
      <c r="F159" s="2" t="b">
        <v>1</v>
      </c>
      <c r="G159" s="5">
        <v>2590</v>
      </c>
      <c r="H159" s="2" t="s">
        <v>818</v>
      </c>
      <c r="I159" s="5">
        <v>9331</v>
      </c>
      <c r="J159" s="64" t="s">
        <v>833</v>
      </c>
      <c r="K159" s="5">
        <v>900328</v>
      </c>
      <c r="L159" s="4" t="s">
        <v>838</v>
      </c>
      <c r="M159" s="5">
        <v>3747</v>
      </c>
      <c r="N159" s="2" t="s">
        <v>876</v>
      </c>
      <c r="O159" s="5">
        <v>301</v>
      </c>
      <c r="P159" s="2" t="s">
        <v>818</v>
      </c>
      <c r="Q159" s="5">
        <v>1473</v>
      </c>
      <c r="R159" s="2" t="s">
        <v>812</v>
      </c>
      <c r="T159" s="2"/>
    </row>
    <row r="160" spans="1:20" x14ac:dyDescent="0.2">
      <c r="A160" s="103"/>
      <c r="B160" s="44" t="s">
        <v>327</v>
      </c>
      <c r="C160" s="22" t="s">
        <v>818</v>
      </c>
      <c r="D160" s="75" t="s">
        <v>818</v>
      </c>
      <c r="E160" s="5">
        <v>1335</v>
      </c>
      <c r="F160" s="2" t="b">
        <v>1</v>
      </c>
      <c r="G160" s="5">
        <v>3697</v>
      </c>
      <c r="H160" s="2" t="s">
        <v>818</v>
      </c>
      <c r="I160" s="5">
        <v>9986</v>
      </c>
      <c r="J160" s="2" t="b">
        <v>1</v>
      </c>
      <c r="K160" s="5">
        <v>3664</v>
      </c>
      <c r="L160" s="4" t="s">
        <v>838</v>
      </c>
      <c r="M160" s="5">
        <v>3785</v>
      </c>
      <c r="N160" s="2" t="s">
        <v>876</v>
      </c>
      <c r="O160" s="5">
        <v>303</v>
      </c>
      <c r="P160" s="2" t="s">
        <v>818</v>
      </c>
      <c r="Q160" s="5">
        <v>1237</v>
      </c>
      <c r="R160" s="2" t="s">
        <v>812</v>
      </c>
      <c r="T160" s="2"/>
    </row>
    <row r="161" spans="1:20" x14ac:dyDescent="0.2">
      <c r="A161" s="103"/>
      <c r="B161" s="44" t="s">
        <v>326</v>
      </c>
      <c r="C161" s="22" t="s">
        <v>818</v>
      </c>
      <c r="D161" s="75" t="s">
        <v>818</v>
      </c>
      <c r="E161" s="5">
        <v>1316</v>
      </c>
      <c r="F161" s="2" t="b">
        <v>1</v>
      </c>
      <c r="G161" s="5">
        <v>4048</v>
      </c>
      <c r="H161" s="2" t="s">
        <v>818</v>
      </c>
      <c r="I161" s="5">
        <v>17007</v>
      </c>
      <c r="J161" s="64" t="s">
        <v>833</v>
      </c>
      <c r="K161" s="5">
        <v>900320</v>
      </c>
      <c r="L161" s="4" t="s">
        <v>838</v>
      </c>
      <c r="M161" s="5">
        <v>3792</v>
      </c>
      <c r="N161" s="2" t="s">
        <v>876</v>
      </c>
      <c r="O161" s="5">
        <v>326</v>
      </c>
      <c r="P161" s="2" t="s">
        <v>818</v>
      </c>
      <c r="Q161" s="5">
        <v>1456</v>
      </c>
      <c r="R161" s="2" t="s">
        <v>812</v>
      </c>
      <c r="T161" s="2"/>
    </row>
    <row r="162" spans="1:20" x14ac:dyDescent="0.2">
      <c r="A162" s="103"/>
      <c r="B162" s="44" t="s">
        <v>325</v>
      </c>
      <c r="C162" s="22" t="s">
        <v>818</v>
      </c>
      <c r="D162" s="2" t="s">
        <v>819</v>
      </c>
      <c r="E162" s="5">
        <v>1325</v>
      </c>
      <c r="F162" s="2" t="b">
        <v>1</v>
      </c>
      <c r="G162" s="5">
        <v>2242</v>
      </c>
      <c r="H162" s="2" t="s">
        <v>818</v>
      </c>
      <c r="I162" s="5">
        <v>4904</v>
      </c>
      <c r="J162" s="2" t="b">
        <v>1</v>
      </c>
      <c r="K162" s="5">
        <v>3469</v>
      </c>
      <c r="L162" s="4" t="s">
        <v>838</v>
      </c>
      <c r="M162" s="5">
        <v>3748</v>
      </c>
      <c r="N162" s="64" t="s">
        <v>822</v>
      </c>
      <c r="O162" s="5">
        <v>1833</v>
      </c>
      <c r="P162" s="2" t="s">
        <v>818</v>
      </c>
      <c r="Q162" s="5">
        <v>1208</v>
      </c>
      <c r="R162" s="2" t="s">
        <v>101</v>
      </c>
      <c r="T162" s="2"/>
    </row>
    <row r="163" spans="1:20" x14ac:dyDescent="0.2">
      <c r="A163" s="103"/>
      <c r="B163" s="44" t="s">
        <v>324</v>
      </c>
      <c r="C163" s="22" t="s">
        <v>818</v>
      </c>
      <c r="D163" s="2" t="s">
        <v>819</v>
      </c>
      <c r="E163" s="5">
        <v>1316</v>
      </c>
      <c r="F163" s="2" t="b">
        <v>1</v>
      </c>
      <c r="G163" s="5">
        <v>86074</v>
      </c>
      <c r="H163" s="2" t="s">
        <v>818</v>
      </c>
      <c r="I163" s="5">
        <v>6687</v>
      </c>
      <c r="J163" s="2" t="b">
        <v>1</v>
      </c>
      <c r="K163" s="5">
        <v>11275</v>
      </c>
      <c r="L163" s="4" t="s">
        <v>838</v>
      </c>
      <c r="M163" s="5">
        <v>3749</v>
      </c>
      <c r="N163" s="2" t="s">
        <v>876</v>
      </c>
      <c r="O163" s="5">
        <v>297</v>
      </c>
      <c r="P163" s="2" t="s">
        <v>818</v>
      </c>
      <c r="Q163" s="5">
        <v>1092</v>
      </c>
      <c r="R163" s="2" t="s">
        <v>101</v>
      </c>
      <c r="T163" s="2"/>
    </row>
    <row r="164" spans="1:20" x14ac:dyDescent="0.2">
      <c r="A164" s="103"/>
      <c r="B164" s="44" t="s">
        <v>323</v>
      </c>
      <c r="C164" s="22" t="s">
        <v>818</v>
      </c>
      <c r="D164" s="75" t="s">
        <v>818</v>
      </c>
      <c r="E164" s="5">
        <v>1324</v>
      </c>
      <c r="F164" s="2" t="b">
        <v>1</v>
      </c>
      <c r="G164" s="5">
        <v>2451</v>
      </c>
      <c r="H164" s="2" t="s">
        <v>818</v>
      </c>
      <c r="I164" s="5">
        <v>6347</v>
      </c>
      <c r="J164" s="2" t="b">
        <v>1</v>
      </c>
      <c r="K164" s="5">
        <v>2678</v>
      </c>
      <c r="L164" s="4" t="s">
        <v>838</v>
      </c>
      <c r="M164" s="5">
        <v>3808</v>
      </c>
      <c r="N164" s="2" t="s">
        <v>876</v>
      </c>
      <c r="O164" s="5">
        <v>307</v>
      </c>
      <c r="P164" s="2" t="s">
        <v>818</v>
      </c>
      <c r="Q164" s="5">
        <v>1103</v>
      </c>
      <c r="R164" s="2" t="s">
        <v>812</v>
      </c>
      <c r="T164" s="2"/>
    </row>
    <row r="165" spans="1:20" x14ac:dyDescent="0.2">
      <c r="A165" s="103"/>
      <c r="B165" s="44" t="s">
        <v>322</v>
      </c>
      <c r="C165" s="61" t="s">
        <v>818</v>
      </c>
      <c r="D165" s="75" t="s">
        <v>818</v>
      </c>
      <c r="E165" s="5">
        <v>1337</v>
      </c>
      <c r="F165" s="2" t="b">
        <v>1</v>
      </c>
      <c r="G165" s="5">
        <v>2450</v>
      </c>
      <c r="H165" s="2" t="s">
        <v>819</v>
      </c>
      <c r="I165" s="5">
        <v>542104</v>
      </c>
      <c r="J165" s="2" t="s">
        <v>833</v>
      </c>
      <c r="K165" s="5">
        <v>14817</v>
      </c>
      <c r="L165" s="4" t="s">
        <v>838</v>
      </c>
      <c r="M165" s="5">
        <v>3759</v>
      </c>
      <c r="N165" s="2" t="s">
        <v>876</v>
      </c>
      <c r="O165" s="5">
        <v>302</v>
      </c>
      <c r="P165" s="2" t="s">
        <v>818</v>
      </c>
      <c r="Q165" s="5">
        <v>1184</v>
      </c>
      <c r="R165" s="2" t="s">
        <v>813</v>
      </c>
      <c r="T165" s="2"/>
    </row>
    <row r="166" spans="1:20" x14ac:dyDescent="0.2">
      <c r="A166" s="103"/>
      <c r="B166" s="44" t="s">
        <v>321</v>
      </c>
      <c r="C166" s="61" t="s">
        <v>818</v>
      </c>
      <c r="D166" s="2" t="s">
        <v>819</v>
      </c>
      <c r="E166" s="5">
        <v>1380</v>
      </c>
      <c r="F166" s="2" t="b">
        <v>1</v>
      </c>
      <c r="G166" s="5">
        <v>213020</v>
      </c>
      <c r="H166" s="2" t="s">
        <v>819</v>
      </c>
      <c r="I166" s="5">
        <v>42391</v>
      </c>
      <c r="J166" s="2" t="b">
        <v>1</v>
      </c>
      <c r="K166" s="5">
        <v>69502</v>
      </c>
      <c r="L166" s="4" t="s">
        <v>833</v>
      </c>
      <c r="M166" s="5">
        <v>4684</v>
      </c>
      <c r="N166" s="2" t="s">
        <v>823</v>
      </c>
      <c r="O166" s="5">
        <v>538</v>
      </c>
      <c r="P166" s="2" t="s">
        <v>818</v>
      </c>
      <c r="Q166" s="5">
        <v>717</v>
      </c>
      <c r="R166" s="2" t="s">
        <v>101</v>
      </c>
      <c r="T166" s="2"/>
    </row>
    <row r="167" spans="1:20" x14ac:dyDescent="0.2">
      <c r="A167" s="103"/>
      <c r="B167" s="44" t="s">
        <v>320</v>
      </c>
      <c r="C167" s="22" t="s">
        <v>818</v>
      </c>
      <c r="D167" s="2" t="s">
        <v>819</v>
      </c>
      <c r="E167" s="5">
        <v>1340</v>
      </c>
      <c r="F167" s="2" t="b">
        <v>1</v>
      </c>
      <c r="G167" s="5">
        <v>183007</v>
      </c>
      <c r="H167" s="2" t="s">
        <v>818</v>
      </c>
      <c r="I167" s="5">
        <v>8680</v>
      </c>
      <c r="J167" s="2" t="b">
        <v>1</v>
      </c>
      <c r="K167" s="5">
        <v>4361</v>
      </c>
      <c r="L167" s="4" t="s">
        <v>833</v>
      </c>
      <c r="M167" s="5">
        <v>4431</v>
      </c>
      <c r="N167" s="2" t="s">
        <v>876</v>
      </c>
      <c r="O167" s="5">
        <v>303</v>
      </c>
      <c r="P167" s="2" t="s">
        <v>818</v>
      </c>
      <c r="Q167" s="5">
        <v>1270</v>
      </c>
      <c r="R167" s="2" t="s">
        <v>813</v>
      </c>
      <c r="T167" s="2"/>
    </row>
    <row r="168" spans="1:20" x14ac:dyDescent="0.2">
      <c r="A168" s="103"/>
      <c r="B168" s="44" t="s">
        <v>319</v>
      </c>
      <c r="C168" s="22" t="s">
        <v>818</v>
      </c>
      <c r="D168" s="2" t="s">
        <v>819</v>
      </c>
      <c r="E168" s="5">
        <v>1341</v>
      </c>
      <c r="F168" s="2" t="b">
        <v>1</v>
      </c>
      <c r="G168" s="5">
        <v>182984</v>
      </c>
      <c r="H168" s="2" t="s">
        <v>818</v>
      </c>
      <c r="I168" s="5">
        <v>8324</v>
      </c>
      <c r="J168" s="2" t="b">
        <v>1</v>
      </c>
      <c r="K168" s="5">
        <v>4601</v>
      </c>
      <c r="L168" s="4" t="s">
        <v>833</v>
      </c>
      <c r="M168" s="5">
        <v>4441</v>
      </c>
      <c r="N168" s="2" t="s">
        <v>823</v>
      </c>
      <c r="O168" s="5">
        <v>310</v>
      </c>
      <c r="P168" s="2" t="s">
        <v>818</v>
      </c>
      <c r="Q168" s="5">
        <v>1270</v>
      </c>
      <c r="R168" s="2" t="s">
        <v>813</v>
      </c>
      <c r="T168" s="2"/>
    </row>
    <row r="169" spans="1:20" x14ac:dyDescent="0.2">
      <c r="A169" s="103"/>
      <c r="B169" s="44" t="s">
        <v>318</v>
      </c>
      <c r="C169" s="22" t="s">
        <v>818</v>
      </c>
      <c r="D169" s="2" t="s">
        <v>819</v>
      </c>
      <c r="E169" s="5">
        <v>1455</v>
      </c>
      <c r="F169" s="2" t="b">
        <v>1</v>
      </c>
      <c r="G169" s="5">
        <v>2735</v>
      </c>
      <c r="H169" s="2" t="s">
        <v>818</v>
      </c>
      <c r="I169" s="5">
        <v>8389</v>
      </c>
      <c r="J169" s="2" t="b">
        <v>1</v>
      </c>
      <c r="K169" s="5">
        <v>3131</v>
      </c>
      <c r="L169" s="4" t="s">
        <v>838</v>
      </c>
      <c r="M169" s="5">
        <v>4454</v>
      </c>
      <c r="N169" s="64" t="s">
        <v>822</v>
      </c>
      <c r="O169" s="5">
        <v>250</v>
      </c>
      <c r="P169" s="2" t="s">
        <v>818</v>
      </c>
      <c r="Q169" s="5">
        <v>1140</v>
      </c>
      <c r="R169" s="2" t="s">
        <v>813</v>
      </c>
      <c r="T169" s="2"/>
    </row>
    <row r="170" spans="1:20" x14ac:dyDescent="0.2">
      <c r="A170" s="103"/>
      <c r="B170" s="28" t="s">
        <v>317</v>
      </c>
      <c r="C170" s="22" t="s">
        <v>818</v>
      </c>
      <c r="D170" s="2" t="s">
        <v>818</v>
      </c>
      <c r="E170" s="5">
        <v>1004</v>
      </c>
      <c r="F170" s="2" t="b">
        <v>1</v>
      </c>
      <c r="G170" s="5">
        <v>182876</v>
      </c>
      <c r="H170" s="2" t="s">
        <v>818</v>
      </c>
      <c r="I170" s="5">
        <v>7896</v>
      </c>
      <c r="J170" s="2" t="b">
        <v>1</v>
      </c>
      <c r="K170" s="5">
        <v>3656</v>
      </c>
      <c r="L170" s="4" t="b">
        <v>1</v>
      </c>
      <c r="M170" s="5">
        <v>6907</v>
      </c>
      <c r="N170" s="2" t="s">
        <v>876</v>
      </c>
      <c r="O170" s="5">
        <v>540</v>
      </c>
      <c r="P170" s="2" t="s">
        <v>818</v>
      </c>
      <c r="Q170" s="5">
        <v>18702</v>
      </c>
      <c r="R170" s="2"/>
      <c r="T170" s="2"/>
    </row>
    <row r="171" spans="1:20" x14ac:dyDescent="0.2">
      <c r="A171" s="103"/>
      <c r="B171" s="28" t="s">
        <v>316</v>
      </c>
      <c r="C171" s="22" t="s">
        <v>818</v>
      </c>
      <c r="D171" s="2" t="s">
        <v>818</v>
      </c>
      <c r="E171" s="5">
        <v>424</v>
      </c>
      <c r="F171" s="2" t="b">
        <v>1</v>
      </c>
      <c r="G171" s="5">
        <v>45649</v>
      </c>
      <c r="H171" s="2" t="s">
        <v>818</v>
      </c>
      <c r="I171" s="5">
        <v>5045</v>
      </c>
      <c r="J171" s="2" t="b">
        <v>1</v>
      </c>
      <c r="K171" s="5">
        <v>2750</v>
      </c>
      <c r="L171" s="4" t="b">
        <v>1</v>
      </c>
      <c r="M171" s="5">
        <v>5787</v>
      </c>
      <c r="N171" s="2" t="s">
        <v>876</v>
      </c>
      <c r="O171" s="5">
        <v>367</v>
      </c>
      <c r="P171" s="2" t="s">
        <v>818</v>
      </c>
      <c r="Q171" s="5">
        <v>3425</v>
      </c>
      <c r="R171" s="2"/>
      <c r="T171" s="2"/>
    </row>
    <row r="172" spans="1:20" x14ac:dyDescent="0.2">
      <c r="A172" s="103"/>
      <c r="B172" s="28" t="s">
        <v>315</v>
      </c>
      <c r="C172" s="22" t="s">
        <v>818</v>
      </c>
      <c r="D172" s="2" t="s">
        <v>818</v>
      </c>
      <c r="E172" s="5">
        <v>428</v>
      </c>
      <c r="F172" s="2" t="b">
        <v>1</v>
      </c>
      <c r="G172" s="5">
        <v>45765</v>
      </c>
      <c r="H172" s="2" t="s">
        <v>818</v>
      </c>
      <c r="I172" s="5">
        <v>5050</v>
      </c>
      <c r="J172" s="2" t="b">
        <v>1</v>
      </c>
      <c r="K172" s="5">
        <v>2732</v>
      </c>
      <c r="L172" s="4" t="b">
        <v>1</v>
      </c>
      <c r="M172" s="5">
        <v>5941</v>
      </c>
      <c r="N172" s="2" t="s">
        <v>823</v>
      </c>
      <c r="O172" s="5">
        <v>4215</v>
      </c>
      <c r="P172" s="2" t="s">
        <v>818</v>
      </c>
      <c r="Q172" s="5">
        <v>2815</v>
      </c>
      <c r="R172" s="2"/>
      <c r="T172" s="2"/>
    </row>
    <row r="173" spans="1:20" x14ac:dyDescent="0.2">
      <c r="A173" s="103"/>
      <c r="B173" s="28" t="s">
        <v>314</v>
      </c>
      <c r="C173" s="22" t="s">
        <v>818</v>
      </c>
      <c r="D173" s="2" t="s">
        <v>818</v>
      </c>
      <c r="E173" s="5">
        <v>429</v>
      </c>
      <c r="F173" s="2" t="b">
        <v>1</v>
      </c>
      <c r="G173" s="5">
        <v>43826</v>
      </c>
      <c r="H173" s="2" t="s">
        <v>818</v>
      </c>
      <c r="I173" s="5">
        <v>6136</v>
      </c>
      <c r="J173" s="2" t="b">
        <v>1</v>
      </c>
      <c r="K173" s="5">
        <v>3341</v>
      </c>
      <c r="L173" s="4" t="b">
        <v>1</v>
      </c>
      <c r="M173" s="5">
        <v>7177</v>
      </c>
      <c r="N173" s="2" t="s">
        <v>823</v>
      </c>
      <c r="O173" s="5">
        <v>9122</v>
      </c>
      <c r="P173" s="2" t="s">
        <v>818</v>
      </c>
      <c r="Q173" s="5">
        <v>8254</v>
      </c>
      <c r="R173" s="2"/>
      <c r="T173" s="2"/>
    </row>
    <row r="174" spans="1:20" x14ac:dyDescent="0.2">
      <c r="A174" s="103"/>
      <c r="B174" s="28" t="s">
        <v>313</v>
      </c>
      <c r="C174" s="22" t="s">
        <v>818</v>
      </c>
      <c r="D174" s="2" t="s">
        <v>818</v>
      </c>
      <c r="E174" s="5">
        <v>439</v>
      </c>
      <c r="F174" s="2" t="b">
        <v>1</v>
      </c>
      <c r="G174" s="5">
        <v>36996</v>
      </c>
      <c r="H174" s="2" t="s">
        <v>818</v>
      </c>
      <c r="I174" s="5">
        <v>6255</v>
      </c>
      <c r="J174" s="2" t="b">
        <v>1</v>
      </c>
      <c r="K174" s="5">
        <v>2800</v>
      </c>
      <c r="L174" s="4" t="b">
        <v>1</v>
      </c>
      <c r="M174" s="5">
        <v>6631</v>
      </c>
      <c r="N174" s="2" t="s">
        <v>876</v>
      </c>
      <c r="O174" s="5">
        <v>394</v>
      </c>
      <c r="P174" s="2" t="s">
        <v>818</v>
      </c>
      <c r="Q174" s="5">
        <v>3539</v>
      </c>
      <c r="R174" s="2"/>
      <c r="T174" s="2"/>
    </row>
    <row r="175" spans="1:20" x14ac:dyDescent="0.2">
      <c r="A175" s="103"/>
      <c r="B175" s="28" t="s">
        <v>312</v>
      </c>
      <c r="C175" s="22" t="s">
        <v>818</v>
      </c>
      <c r="D175" s="2" t="s">
        <v>818</v>
      </c>
      <c r="E175" s="5">
        <v>417</v>
      </c>
      <c r="F175" s="2" t="b">
        <v>1</v>
      </c>
      <c r="G175" s="5">
        <v>47091</v>
      </c>
      <c r="H175" s="2" t="s">
        <v>818</v>
      </c>
      <c r="I175" s="5">
        <v>5326</v>
      </c>
      <c r="J175" s="2" t="b">
        <v>1</v>
      </c>
      <c r="K175" s="5">
        <v>2736</v>
      </c>
      <c r="L175" s="4" t="b">
        <v>1</v>
      </c>
      <c r="M175" s="5">
        <v>6022</v>
      </c>
      <c r="N175" s="2" t="s">
        <v>876</v>
      </c>
      <c r="O175" s="5">
        <v>362</v>
      </c>
      <c r="P175" s="2" t="s">
        <v>818</v>
      </c>
      <c r="Q175" s="5">
        <v>2207</v>
      </c>
      <c r="R175" s="2"/>
      <c r="T175" s="2"/>
    </row>
    <row r="176" spans="1:20" x14ac:dyDescent="0.2">
      <c r="A176" s="103"/>
      <c r="B176" s="28" t="s">
        <v>311</v>
      </c>
      <c r="C176" s="22" t="s">
        <v>818</v>
      </c>
      <c r="D176" s="2" t="s">
        <v>818</v>
      </c>
      <c r="E176" s="5">
        <v>426</v>
      </c>
      <c r="F176" s="2" t="b">
        <v>0</v>
      </c>
      <c r="G176" s="5">
        <v>4158</v>
      </c>
      <c r="H176" s="2" t="s">
        <v>818</v>
      </c>
      <c r="I176" s="5">
        <v>5323</v>
      </c>
      <c r="J176" s="2" t="b">
        <v>1</v>
      </c>
      <c r="K176" s="5">
        <v>2546</v>
      </c>
      <c r="L176" s="4" t="s">
        <v>833</v>
      </c>
      <c r="M176" s="5">
        <v>5942</v>
      </c>
      <c r="N176" s="2" t="s">
        <v>823</v>
      </c>
      <c r="O176" s="5">
        <v>393</v>
      </c>
      <c r="P176" s="2" t="s">
        <v>818</v>
      </c>
      <c r="Q176" s="5">
        <v>1768</v>
      </c>
      <c r="R176" s="2"/>
      <c r="T176" s="2"/>
    </row>
    <row r="177" spans="1:20" x14ac:dyDescent="0.2">
      <c r="A177" s="103"/>
      <c r="B177" s="28" t="s">
        <v>310</v>
      </c>
      <c r="C177" s="22" t="s">
        <v>818</v>
      </c>
      <c r="D177" s="2" t="s">
        <v>818</v>
      </c>
      <c r="E177" s="5">
        <v>710</v>
      </c>
      <c r="F177" s="2" t="b">
        <v>1</v>
      </c>
      <c r="G177" s="5">
        <v>61878</v>
      </c>
      <c r="H177" s="64" t="s">
        <v>837</v>
      </c>
      <c r="I177" s="5">
        <v>900509</v>
      </c>
      <c r="J177" s="2" t="b">
        <v>1</v>
      </c>
      <c r="K177" s="5">
        <v>4027</v>
      </c>
      <c r="L177" s="4" t="b">
        <v>1</v>
      </c>
      <c r="M177" s="5">
        <v>7095</v>
      </c>
      <c r="N177" s="2" t="s">
        <v>876</v>
      </c>
      <c r="O177" s="5">
        <v>408</v>
      </c>
      <c r="P177" s="2" t="s">
        <v>818</v>
      </c>
      <c r="Q177" s="5">
        <v>2858</v>
      </c>
      <c r="R177" s="2"/>
      <c r="T177" s="2"/>
    </row>
    <row r="178" spans="1:20" x14ac:dyDescent="0.2">
      <c r="A178" s="103"/>
      <c r="B178" s="44" t="s">
        <v>309</v>
      </c>
      <c r="C178" s="22" t="s">
        <v>818</v>
      </c>
      <c r="D178" s="2" t="s">
        <v>819</v>
      </c>
      <c r="E178" s="5">
        <v>1368</v>
      </c>
      <c r="F178" s="2" t="s">
        <v>883</v>
      </c>
      <c r="G178" s="5">
        <v>121711</v>
      </c>
      <c r="H178" s="2" t="s">
        <v>818</v>
      </c>
      <c r="I178" s="5">
        <v>15284</v>
      </c>
      <c r="J178" s="64" t="s">
        <v>833</v>
      </c>
      <c r="K178" s="5">
        <v>902430</v>
      </c>
      <c r="L178" s="4" t="s">
        <v>838</v>
      </c>
      <c r="M178" s="5">
        <v>3826</v>
      </c>
      <c r="N178" s="2" t="s">
        <v>876</v>
      </c>
      <c r="O178" s="5">
        <v>284</v>
      </c>
      <c r="P178" s="2" t="s">
        <v>818</v>
      </c>
      <c r="Q178" s="5">
        <v>1142</v>
      </c>
      <c r="R178" s="2" t="s">
        <v>101</v>
      </c>
      <c r="T178" s="2"/>
    </row>
    <row r="179" spans="1:20" x14ac:dyDescent="0.2">
      <c r="A179" s="103"/>
      <c r="B179" s="44" t="s">
        <v>308</v>
      </c>
      <c r="C179" s="22" t="s">
        <v>818</v>
      </c>
      <c r="D179" s="75" t="s">
        <v>818</v>
      </c>
      <c r="E179" s="5">
        <v>1331</v>
      </c>
      <c r="F179" s="2" t="b">
        <v>1</v>
      </c>
      <c r="G179" s="5">
        <v>4970</v>
      </c>
      <c r="H179" s="2" t="s">
        <v>818</v>
      </c>
      <c r="I179" s="5">
        <v>6217</v>
      </c>
      <c r="J179" s="2" t="b">
        <v>1</v>
      </c>
      <c r="K179" s="5">
        <v>9117</v>
      </c>
      <c r="L179" s="4" t="s">
        <v>838</v>
      </c>
      <c r="M179" s="5">
        <v>3762</v>
      </c>
      <c r="N179" s="2" t="s">
        <v>876</v>
      </c>
      <c r="O179" s="5">
        <v>286</v>
      </c>
      <c r="P179" s="2" t="s">
        <v>818</v>
      </c>
      <c r="Q179" s="5">
        <v>760</v>
      </c>
      <c r="R179" s="2" t="s">
        <v>812</v>
      </c>
      <c r="T179" s="2"/>
    </row>
    <row r="180" spans="1:20" x14ac:dyDescent="0.2">
      <c r="A180" s="103"/>
      <c r="B180" s="28" t="s">
        <v>307</v>
      </c>
      <c r="C180" s="22" t="s">
        <v>818</v>
      </c>
      <c r="D180" s="2" t="s">
        <v>818</v>
      </c>
      <c r="E180" s="5">
        <v>533</v>
      </c>
      <c r="F180" s="2" t="b">
        <v>1</v>
      </c>
      <c r="G180" s="5">
        <v>46698</v>
      </c>
      <c r="H180" s="2" t="s">
        <v>818</v>
      </c>
      <c r="I180" s="5">
        <v>5061</v>
      </c>
      <c r="J180" s="2" t="b">
        <v>1</v>
      </c>
      <c r="K180" s="5">
        <v>2685</v>
      </c>
      <c r="L180" s="4" t="b">
        <v>1</v>
      </c>
      <c r="M180" s="5">
        <v>5863</v>
      </c>
      <c r="N180" s="2" t="s">
        <v>876</v>
      </c>
      <c r="O180" s="5">
        <v>376</v>
      </c>
      <c r="P180" s="2" t="s">
        <v>818</v>
      </c>
      <c r="Q180" s="5">
        <v>2313</v>
      </c>
      <c r="R180" s="2"/>
      <c r="T180" s="2"/>
    </row>
    <row r="181" spans="1:20" x14ac:dyDescent="0.2">
      <c r="A181" s="103"/>
      <c r="B181" s="28" t="s">
        <v>306</v>
      </c>
      <c r="C181" s="22" t="s">
        <v>818</v>
      </c>
      <c r="D181" s="2" t="s">
        <v>818</v>
      </c>
      <c r="E181" s="5">
        <v>505</v>
      </c>
      <c r="F181" s="2" t="b">
        <v>1</v>
      </c>
      <c r="G181" s="5">
        <v>46395</v>
      </c>
      <c r="H181" s="2" t="s">
        <v>818</v>
      </c>
      <c r="I181" s="5">
        <v>5401</v>
      </c>
      <c r="J181" s="2" t="b">
        <v>1</v>
      </c>
      <c r="K181" s="5">
        <v>2906</v>
      </c>
      <c r="L181" s="4" t="b">
        <v>1</v>
      </c>
      <c r="M181" s="5">
        <v>5924</v>
      </c>
      <c r="N181" s="2" t="s">
        <v>876</v>
      </c>
      <c r="O181" s="5">
        <v>392</v>
      </c>
      <c r="P181" s="2" t="s">
        <v>818</v>
      </c>
      <c r="Q181" s="5">
        <v>1885</v>
      </c>
      <c r="R181" s="2"/>
      <c r="T181" s="2"/>
    </row>
    <row r="182" spans="1:20" x14ac:dyDescent="0.2">
      <c r="A182" s="103"/>
      <c r="B182" s="28" t="s">
        <v>305</v>
      </c>
      <c r="C182" s="22" t="s">
        <v>818</v>
      </c>
      <c r="D182" s="2" t="s">
        <v>818</v>
      </c>
      <c r="E182" s="5">
        <v>440</v>
      </c>
      <c r="F182" s="2" t="b">
        <v>1</v>
      </c>
      <c r="G182" s="5">
        <v>182909</v>
      </c>
      <c r="H182" s="2" t="s">
        <v>818</v>
      </c>
      <c r="I182" s="5">
        <v>5528</v>
      </c>
      <c r="J182" s="2" t="b">
        <v>1</v>
      </c>
      <c r="K182" s="5">
        <v>2603</v>
      </c>
      <c r="L182" s="4" t="s">
        <v>833</v>
      </c>
      <c r="M182" s="5">
        <v>5763</v>
      </c>
      <c r="N182" s="2" t="s">
        <v>823</v>
      </c>
      <c r="O182" s="5">
        <v>384</v>
      </c>
      <c r="P182" s="2" t="s">
        <v>818</v>
      </c>
      <c r="Q182" s="5">
        <v>1606</v>
      </c>
      <c r="R182" s="2"/>
      <c r="T182" s="2"/>
    </row>
    <row r="183" spans="1:20" x14ac:dyDescent="0.2">
      <c r="A183" s="103"/>
      <c r="B183" s="28" t="s">
        <v>304</v>
      </c>
      <c r="C183" s="22" t="s">
        <v>818</v>
      </c>
      <c r="D183" s="2" t="s">
        <v>818</v>
      </c>
      <c r="E183" s="5">
        <v>435</v>
      </c>
      <c r="F183" s="2" t="b">
        <v>1</v>
      </c>
      <c r="G183" s="5">
        <v>182867</v>
      </c>
      <c r="H183" s="2" t="s">
        <v>818</v>
      </c>
      <c r="I183" s="5">
        <v>5316</v>
      </c>
      <c r="J183" s="2" t="b">
        <v>1</v>
      </c>
      <c r="K183" s="5">
        <v>3067</v>
      </c>
      <c r="L183" s="4" t="s">
        <v>833</v>
      </c>
      <c r="M183" s="5">
        <v>5765</v>
      </c>
      <c r="N183" s="2" t="s">
        <v>823</v>
      </c>
      <c r="O183" s="5">
        <v>376</v>
      </c>
      <c r="P183" s="2" t="s">
        <v>818</v>
      </c>
      <c r="Q183" s="5">
        <v>1637</v>
      </c>
      <c r="R183" s="2"/>
      <c r="T183" s="2"/>
    </row>
    <row r="184" spans="1:20" x14ac:dyDescent="0.2">
      <c r="A184" s="103"/>
      <c r="B184" s="28" t="s">
        <v>303</v>
      </c>
      <c r="C184" s="22" t="s">
        <v>818</v>
      </c>
      <c r="D184" s="2" t="s">
        <v>818</v>
      </c>
      <c r="E184" s="5">
        <v>433</v>
      </c>
      <c r="F184" s="2" t="b">
        <v>1</v>
      </c>
      <c r="G184" s="5">
        <v>48894</v>
      </c>
      <c r="H184" s="2" t="s">
        <v>818</v>
      </c>
      <c r="I184" s="5">
        <v>2846</v>
      </c>
      <c r="J184" s="2" t="b">
        <v>1</v>
      </c>
      <c r="K184" s="5">
        <v>7423</v>
      </c>
      <c r="L184" s="4" t="s">
        <v>833</v>
      </c>
      <c r="M184" s="5">
        <v>5848</v>
      </c>
      <c r="N184" s="2" t="s">
        <v>876</v>
      </c>
      <c r="O184" s="5">
        <v>366</v>
      </c>
      <c r="P184" s="2" t="s">
        <v>818</v>
      </c>
      <c r="Q184" s="5">
        <v>1406</v>
      </c>
      <c r="R184" s="2"/>
      <c r="T184" s="2"/>
    </row>
    <row r="185" spans="1:20" x14ac:dyDescent="0.2">
      <c r="A185" s="103"/>
      <c r="B185" s="28" t="s">
        <v>302</v>
      </c>
      <c r="C185" s="22" t="s">
        <v>818</v>
      </c>
      <c r="D185" s="2" t="s">
        <v>818</v>
      </c>
      <c r="E185" s="5">
        <v>424</v>
      </c>
      <c r="F185" s="2" t="b">
        <v>1</v>
      </c>
      <c r="G185" s="5">
        <v>33979</v>
      </c>
      <c r="H185" s="64" t="s">
        <v>837</v>
      </c>
      <c r="I185" s="5">
        <v>900144</v>
      </c>
      <c r="J185" s="2" t="b">
        <v>1</v>
      </c>
      <c r="K185" s="5">
        <v>2844</v>
      </c>
      <c r="L185" s="4" t="b">
        <v>1</v>
      </c>
      <c r="M185" s="5">
        <v>6015</v>
      </c>
      <c r="N185" s="2" t="s">
        <v>876</v>
      </c>
      <c r="O185" s="5">
        <v>302</v>
      </c>
      <c r="P185" s="2" t="s">
        <v>818</v>
      </c>
      <c r="Q185" s="5">
        <v>1315</v>
      </c>
      <c r="R185" s="2"/>
      <c r="T185" s="2"/>
    </row>
    <row r="186" spans="1:20" x14ac:dyDescent="0.2">
      <c r="A186" s="103"/>
      <c r="B186" s="28" t="s">
        <v>301</v>
      </c>
      <c r="C186" s="22" t="s">
        <v>818</v>
      </c>
      <c r="D186" s="2" t="s">
        <v>818</v>
      </c>
      <c r="E186" s="5">
        <v>400</v>
      </c>
      <c r="F186" s="2" t="b">
        <v>1</v>
      </c>
      <c r="G186" s="5">
        <v>38731</v>
      </c>
      <c r="H186" s="2" t="s">
        <v>818</v>
      </c>
      <c r="I186" s="5">
        <v>6067</v>
      </c>
      <c r="J186" s="2" t="b">
        <v>1</v>
      </c>
      <c r="K186" s="5">
        <v>2882</v>
      </c>
      <c r="L186" s="4" t="b">
        <v>1</v>
      </c>
      <c r="M186" s="5">
        <v>5907</v>
      </c>
      <c r="N186" s="2" t="s">
        <v>876</v>
      </c>
      <c r="O186" s="5">
        <v>395</v>
      </c>
      <c r="P186" s="2" t="s">
        <v>818</v>
      </c>
      <c r="Q186" s="5">
        <v>1736</v>
      </c>
      <c r="R186" s="2"/>
      <c r="T186" s="2"/>
    </row>
    <row r="187" spans="1:20" x14ac:dyDescent="0.2">
      <c r="A187" s="103"/>
      <c r="B187" s="28" t="s">
        <v>300</v>
      </c>
      <c r="C187" s="22" t="s">
        <v>818</v>
      </c>
      <c r="D187" s="2" t="s">
        <v>818</v>
      </c>
      <c r="E187" s="5">
        <v>402</v>
      </c>
      <c r="F187" s="2" t="b">
        <v>1</v>
      </c>
      <c r="G187" s="5">
        <v>37319</v>
      </c>
      <c r="H187" s="2" t="s">
        <v>818</v>
      </c>
      <c r="I187" s="5">
        <v>6513</v>
      </c>
      <c r="J187" s="2" t="b">
        <v>1</v>
      </c>
      <c r="K187" s="5">
        <v>2977</v>
      </c>
      <c r="L187" s="4" t="b">
        <v>1</v>
      </c>
      <c r="M187" s="5">
        <v>6246</v>
      </c>
      <c r="N187" s="2" t="s">
        <v>876</v>
      </c>
      <c r="O187" s="5">
        <v>399</v>
      </c>
      <c r="P187" s="2" t="s">
        <v>818</v>
      </c>
      <c r="Q187" s="5">
        <v>2743</v>
      </c>
      <c r="R187" s="2"/>
      <c r="T187" s="2"/>
    </row>
    <row r="188" spans="1:20" x14ac:dyDescent="0.2">
      <c r="A188" s="103"/>
      <c r="B188" s="28" t="s">
        <v>299</v>
      </c>
      <c r="C188" s="22" t="s">
        <v>818</v>
      </c>
      <c r="D188" s="2" t="s">
        <v>818</v>
      </c>
      <c r="E188" s="5">
        <v>441</v>
      </c>
      <c r="F188" s="2" t="b">
        <v>1</v>
      </c>
      <c r="G188" s="5">
        <v>182298</v>
      </c>
      <c r="H188" s="2" t="s">
        <v>818</v>
      </c>
      <c r="I188" s="5">
        <v>7495</v>
      </c>
      <c r="J188" s="2" t="b">
        <v>1</v>
      </c>
      <c r="K188" s="5">
        <v>3505</v>
      </c>
      <c r="L188" s="4" t="b">
        <v>1</v>
      </c>
      <c r="M188" s="5">
        <v>6148</v>
      </c>
      <c r="N188" s="2" t="s">
        <v>876</v>
      </c>
      <c r="O188" s="5">
        <v>375</v>
      </c>
      <c r="P188" s="2" t="s">
        <v>818</v>
      </c>
      <c r="Q188" s="5">
        <v>2070</v>
      </c>
      <c r="R188" s="2"/>
      <c r="T188" s="2"/>
    </row>
    <row r="189" spans="1:20" x14ac:dyDescent="0.2">
      <c r="A189" s="103"/>
      <c r="B189" s="28" t="s">
        <v>298</v>
      </c>
      <c r="C189" s="22" t="s">
        <v>818</v>
      </c>
      <c r="D189" s="2" t="s">
        <v>818</v>
      </c>
      <c r="E189" s="5">
        <v>542</v>
      </c>
      <c r="F189" s="2" t="b">
        <v>1</v>
      </c>
      <c r="G189" s="5">
        <v>60145</v>
      </c>
      <c r="H189" s="2" t="s">
        <v>818</v>
      </c>
      <c r="I189" s="5">
        <v>7482</v>
      </c>
      <c r="J189" s="2" t="b">
        <v>1</v>
      </c>
      <c r="K189" s="5">
        <v>4396</v>
      </c>
      <c r="L189" s="4" t="b">
        <v>1</v>
      </c>
      <c r="M189" s="5">
        <v>6229</v>
      </c>
      <c r="N189" s="2" t="s">
        <v>823</v>
      </c>
      <c r="O189" s="5">
        <v>4975</v>
      </c>
      <c r="P189" s="2" t="s">
        <v>818</v>
      </c>
      <c r="Q189" s="5">
        <v>1745</v>
      </c>
      <c r="R189" s="2"/>
      <c r="T189" s="2"/>
    </row>
    <row r="190" spans="1:20" x14ac:dyDescent="0.2">
      <c r="A190" s="103"/>
      <c r="B190" s="28" t="s">
        <v>297</v>
      </c>
      <c r="C190" s="22" t="s">
        <v>818</v>
      </c>
      <c r="D190" s="2" t="s">
        <v>818</v>
      </c>
      <c r="E190" s="5">
        <v>423</v>
      </c>
      <c r="F190" s="2" t="b">
        <v>1</v>
      </c>
      <c r="G190" s="5">
        <v>76398</v>
      </c>
      <c r="H190" s="2" t="s">
        <v>818</v>
      </c>
      <c r="I190" s="5">
        <v>9077</v>
      </c>
      <c r="J190" s="2" t="b">
        <v>1</v>
      </c>
      <c r="K190" s="5">
        <v>3410</v>
      </c>
      <c r="L190" s="4" t="b">
        <v>1</v>
      </c>
      <c r="M190" s="5">
        <v>6738</v>
      </c>
      <c r="N190" s="2" t="s">
        <v>823</v>
      </c>
      <c r="O190" s="5">
        <v>544</v>
      </c>
      <c r="P190" s="2" t="s">
        <v>818</v>
      </c>
      <c r="Q190" s="5">
        <v>2823</v>
      </c>
      <c r="R190" s="2"/>
      <c r="T190" s="2"/>
    </row>
    <row r="191" spans="1:20" x14ac:dyDescent="0.2">
      <c r="A191" s="103"/>
      <c r="B191" s="28" t="s">
        <v>296</v>
      </c>
      <c r="C191" s="22" t="s">
        <v>818</v>
      </c>
      <c r="D191" s="2" t="s">
        <v>818</v>
      </c>
      <c r="E191" s="5">
        <v>429</v>
      </c>
      <c r="F191" s="2" t="b">
        <v>1</v>
      </c>
      <c r="G191" s="5">
        <v>75475</v>
      </c>
      <c r="H191" s="64" t="s">
        <v>837</v>
      </c>
      <c r="I191" s="5">
        <v>900221</v>
      </c>
      <c r="J191" s="2" t="b">
        <v>1</v>
      </c>
      <c r="K191" s="5">
        <v>3400</v>
      </c>
      <c r="L191" s="4" t="b">
        <v>1</v>
      </c>
      <c r="M191" s="5">
        <v>6877</v>
      </c>
      <c r="N191" s="2" t="s">
        <v>876</v>
      </c>
      <c r="O191" s="5">
        <v>402</v>
      </c>
      <c r="P191" s="2" t="s">
        <v>818</v>
      </c>
      <c r="Q191" s="5">
        <v>2517</v>
      </c>
      <c r="R191" s="2"/>
      <c r="T191" s="2"/>
    </row>
    <row r="192" spans="1:20" x14ac:dyDescent="0.2">
      <c r="A192" s="103"/>
      <c r="B192" s="28" t="s">
        <v>295</v>
      </c>
      <c r="C192" s="22" t="s">
        <v>818</v>
      </c>
      <c r="D192" s="2" t="s">
        <v>818</v>
      </c>
      <c r="E192" s="5">
        <v>912</v>
      </c>
      <c r="F192" s="2" t="b">
        <v>1</v>
      </c>
      <c r="G192" s="5">
        <v>77202</v>
      </c>
      <c r="H192" s="2" t="s">
        <v>818</v>
      </c>
      <c r="I192" s="5">
        <v>8299</v>
      </c>
      <c r="J192" s="2" t="b">
        <v>1</v>
      </c>
      <c r="K192" s="5">
        <v>3392</v>
      </c>
      <c r="L192" s="4" t="b">
        <v>1</v>
      </c>
      <c r="M192" s="5">
        <v>6701</v>
      </c>
      <c r="N192" s="2" t="s">
        <v>876</v>
      </c>
      <c r="O192" s="5">
        <v>418</v>
      </c>
      <c r="P192" s="2" t="s">
        <v>818</v>
      </c>
      <c r="Q192" s="5">
        <v>11566</v>
      </c>
      <c r="R192" s="2"/>
      <c r="T192" s="2"/>
    </row>
    <row r="193" spans="1:20" x14ac:dyDescent="0.2">
      <c r="A193" s="103"/>
      <c r="B193" s="28" t="s">
        <v>294</v>
      </c>
      <c r="C193" s="22" t="s">
        <v>818</v>
      </c>
      <c r="D193" s="2" t="s">
        <v>818</v>
      </c>
      <c r="E193" s="5">
        <v>631</v>
      </c>
      <c r="F193" s="2" t="b">
        <v>1</v>
      </c>
      <c r="G193" s="5">
        <v>81553</v>
      </c>
      <c r="H193" s="2" t="s">
        <v>818</v>
      </c>
      <c r="I193" s="5">
        <v>8428</v>
      </c>
      <c r="J193" s="2" t="b">
        <v>1</v>
      </c>
      <c r="K193" s="5">
        <v>3602</v>
      </c>
      <c r="L193" s="4" t="b">
        <v>1</v>
      </c>
      <c r="M193" s="5">
        <v>7152</v>
      </c>
      <c r="N193" s="2" t="s">
        <v>876</v>
      </c>
      <c r="O193" s="5">
        <v>402</v>
      </c>
      <c r="P193" s="2" t="s">
        <v>818</v>
      </c>
      <c r="Q193" s="5">
        <v>28656</v>
      </c>
      <c r="R193" s="2"/>
      <c r="T193" s="2"/>
    </row>
    <row r="194" spans="1:20" x14ac:dyDescent="0.2">
      <c r="A194" s="103"/>
      <c r="B194" s="28" t="s">
        <v>293</v>
      </c>
      <c r="C194" s="22" t="s">
        <v>818</v>
      </c>
      <c r="D194" s="2" t="s">
        <v>818</v>
      </c>
      <c r="E194" s="5">
        <v>416</v>
      </c>
      <c r="F194" s="2" t="b">
        <v>1</v>
      </c>
      <c r="G194" s="5">
        <v>182858</v>
      </c>
      <c r="H194" s="2" t="s">
        <v>818</v>
      </c>
      <c r="I194" s="5">
        <v>5284</v>
      </c>
      <c r="J194" s="2" t="b">
        <v>1</v>
      </c>
      <c r="K194" s="5">
        <v>2970</v>
      </c>
      <c r="L194" s="4" t="b">
        <v>1</v>
      </c>
      <c r="M194" s="5">
        <v>7079</v>
      </c>
      <c r="N194" s="2" t="s">
        <v>876</v>
      </c>
      <c r="O194" s="5">
        <v>509</v>
      </c>
      <c r="P194" s="2" t="s">
        <v>818</v>
      </c>
      <c r="Q194" s="5">
        <v>1311</v>
      </c>
      <c r="R194" s="2"/>
      <c r="T194" s="2"/>
    </row>
    <row r="195" spans="1:20" x14ac:dyDescent="0.2">
      <c r="A195" s="103"/>
      <c r="B195" s="28" t="s">
        <v>292</v>
      </c>
      <c r="C195" s="22" t="s">
        <v>818</v>
      </c>
      <c r="D195" s="2" t="s">
        <v>818</v>
      </c>
      <c r="E195" s="5">
        <v>401</v>
      </c>
      <c r="F195" s="2" t="b">
        <v>1</v>
      </c>
      <c r="G195" s="5">
        <v>183981</v>
      </c>
      <c r="H195" s="2" t="s">
        <v>818</v>
      </c>
      <c r="I195" s="5">
        <v>5407</v>
      </c>
      <c r="J195" s="2" t="b">
        <v>1</v>
      </c>
      <c r="K195" s="5">
        <v>3073</v>
      </c>
      <c r="L195" s="4" t="b">
        <v>1</v>
      </c>
      <c r="M195" s="5">
        <v>7742</v>
      </c>
      <c r="N195" s="2" t="s">
        <v>876</v>
      </c>
      <c r="O195" s="5">
        <v>625</v>
      </c>
      <c r="P195" s="2" t="s">
        <v>818</v>
      </c>
      <c r="Q195" s="5">
        <v>3383</v>
      </c>
      <c r="R195" s="2"/>
      <c r="T195" s="2"/>
    </row>
    <row r="196" spans="1:20" x14ac:dyDescent="0.2">
      <c r="A196" s="103"/>
      <c r="B196" s="28" t="s">
        <v>291</v>
      </c>
      <c r="C196" s="22" t="s">
        <v>818</v>
      </c>
      <c r="D196" s="2" t="s">
        <v>818</v>
      </c>
      <c r="E196" s="5">
        <v>619</v>
      </c>
      <c r="F196" s="2" t="b">
        <v>1</v>
      </c>
      <c r="G196" s="5">
        <v>182908</v>
      </c>
      <c r="H196" s="2" t="s">
        <v>818</v>
      </c>
      <c r="I196" s="5">
        <v>8110</v>
      </c>
      <c r="J196" s="2" t="b">
        <v>1</v>
      </c>
      <c r="K196" s="5">
        <v>3242</v>
      </c>
      <c r="L196" s="4" t="b">
        <v>1</v>
      </c>
      <c r="M196" s="5">
        <v>6750</v>
      </c>
      <c r="N196" s="2" t="s">
        <v>876</v>
      </c>
      <c r="O196" s="5">
        <v>450</v>
      </c>
      <c r="P196" s="2" t="s">
        <v>818</v>
      </c>
      <c r="Q196" s="5">
        <v>4017</v>
      </c>
      <c r="R196" s="2"/>
      <c r="T196" s="2"/>
    </row>
    <row r="197" spans="1:20" x14ac:dyDescent="0.2">
      <c r="A197" s="103"/>
      <c r="B197" s="28" t="s">
        <v>290</v>
      </c>
      <c r="C197" s="22" t="s">
        <v>818</v>
      </c>
      <c r="D197" s="2" t="s">
        <v>818</v>
      </c>
      <c r="E197" s="5">
        <v>1056</v>
      </c>
      <c r="F197" s="2" t="b">
        <v>1</v>
      </c>
      <c r="G197" s="5">
        <v>184040</v>
      </c>
      <c r="H197" s="2" t="s">
        <v>818</v>
      </c>
      <c r="I197" s="5">
        <v>8637</v>
      </c>
      <c r="J197" s="2" t="b">
        <v>1</v>
      </c>
      <c r="K197" s="5">
        <v>3141</v>
      </c>
      <c r="L197" s="4" t="b">
        <v>1</v>
      </c>
      <c r="M197" s="5">
        <v>7148</v>
      </c>
      <c r="N197" s="2" t="s">
        <v>876</v>
      </c>
      <c r="O197" s="5">
        <v>521</v>
      </c>
      <c r="P197" s="2" t="s">
        <v>818</v>
      </c>
      <c r="Q197" s="5">
        <v>227387</v>
      </c>
      <c r="R197" s="2"/>
      <c r="T197" s="2"/>
    </row>
    <row r="198" spans="1:20" x14ac:dyDescent="0.2">
      <c r="A198" s="103"/>
      <c r="B198" s="28" t="s">
        <v>289</v>
      </c>
      <c r="C198" s="22" t="s">
        <v>818</v>
      </c>
      <c r="D198" s="2" t="s">
        <v>818</v>
      </c>
      <c r="E198" s="5">
        <v>1538</v>
      </c>
      <c r="F198" s="2" t="b">
        <v>1</v>
      </c>
      <c r="G198" s="5">
        <v>182461</v>
      </c>
      <c r="H198" s="2" t="s">
        <v>818</v>
      </c>
      <c r="I198" s="5">
        <v>5290</v>
      </c>
      <c r="J198" s="2" t="b">
        <v>1</v>
      </c>
      <c r="K198" s="5">
        <v>3556</v>
      </c>
      <c r="L198" s="4" t="b">
        <v>1</v>
      </c>
      <c r="M198" s="5">
        <v>8916</v>
      </c>
      <c r="N198" s="2" t="s">
        <v>876</v>
      </c>
      <c r="O198" s="5">
        <v>403</v>
      </c>
      <c r="P198" s="2" t="s">
        <v>818</v>
      </c>
      <c r="Q198" s="5">
        <v>14724</v>
      </c>
      <c r="R198" s="2"/>
      <c r="T198" s="2"/>
    </row>
    <row r="199" spans="1:20" x14ac:dyDescent="0.2">
      <c r="A199" s="103"/>
      <c r="B199" s="28" t="s">
        <v>288</v>
      </c>
      <c r="C199" s="22" t="s">
        <v>818</v>
      </c>
      <c r="D199" s="2" t="s">
        <v>818</v>
      </c>
      <c r="E199" s="5">
        <v>549</v>
      </c>
      <c r="F199" s="2" t="b">
        <v>1</v>
      </c>
      <c r="G199" s="5">
        <v>182591</v>
      </c>
      <c r="H199" s="2" t="s">
        <v>818</v>
      </c>
      <c r="I199" s="5">
        <v>8384</v>
      </c>
      <c r="J199" s="2" t="b">
        <v>1</v>
      </c>
      <c r="K199" s="5">
        <v>3418</v>
      </c>
      <c r="L199" s="4" t="b">
        <v>1</v>
      </c>
      <c r="M199" s="5">
        <v>6010</v>
      </c>
      <c r="N199" s="2" t="s">
        <v>823</v>
      </c>
      <c r="O199" s="5">
        <v>445</v>
      </c>
      <c r="P199" s="2" t="s">
        <v>818</v>
      </c>
      <c r="Q199" s="5">
        <v>3119</v>
      </c>
      <c r="R199" s="2"/>
      <c r="T199" s="2"/>
    </row>
    <row r="200" spans="1:20" x14ac:dyDescent="0.2">
      <c r="A200" s="103"/>
      <c r="B200" s="28" t="s">
        <v>287</v>
      </c>
      <c r="C200" s="22" t="s">
        <v>818</v>
      </c>
      <c r="D200" s="2" t="s">
        <v>818</v>
      </c>
      <c r="E200" s="5">
        <v>848</v>
      </c>
      <c r="F200" s="2" t="b">
        <v>1</v>
      </c>
      <c r="G200" s="5">
        <v>183015</v>
      </c>
      <c r="H200" s="2" t="s">
        <v>818</v>
      </c>
      <c r="I200" s="5">
        <v>9098</v>
      </c>
      <c r="J200" s="2" t="b">
        <v>1</v>
      </c>
      <c r="K200" s="5">
        <v>4415</v>
      </c>
      <c r="L200" s="4" t="b">
        <v>1</v>
      </c>
      <c r="M200" s="5">
        <v>6830</v>
      </c>
      <c r="N200" s="2" t="s">
        <v>823</v>
      </c>
      <c r="O200" s="5">
        <v>693</v>
      </c>
      <c r="P200" s="2" t="s">
        <v>818</v>
      </c>
      <c r="Q200" s="5">
        <v>5146</v>
      </c>
      <c r="R200" s="2"/>
      <c r="T200" s="2"/>
    </row>
    <row r="201" spans="1:20" x14ac:dyDescent="0.2">
      <c r="A201" s="103"/>
      <c r="B201" s="28" t="s">
        <v>286</v>
      </c>
      <c r="C201" s="22" t="s">
        <v>818</v>
      </c>
      <c r="D201" s="2" t="s">
        <v>818</v>
      </c>
      <c r="E201" s="5">
        <v>843</v>
      </c>
      <c r="F201" s="2" t="b">
        <v>1</v>
      </c>
      <c r="G201" s="5">
        <v>182738</v>
      </c>
      <c r="H201" s="2" t="s">
        <v>818</v>
      </c>
      <c r="I201" s="5">
        <v>9382</v>
      </c>
      <c r="J201" s="2" t="b">
        <v>1</v>
      </c>
      <c r="K201" s="5">
        <v>3673</v>
      </c>
      <c r="L201" s="4" t="b">
        <v>1</v>
      </c>
      <c r="M201" s="5">
        <v>6830</v>
      </c>
      <c r="N201" s="2" t="s">
        <v>876</v>
      </c>
      <c r="O201" s="5">
        <v>521</v>
      </c>
      <c r="P201" s="2" t="s">
        <v>818</v>
      </c>
      <c r="Q201" s="5">
        <v>22439</v>
      </c>
      <c r="R201" s="2"/>
      <c r="T201" s="2"/>
    </row>
    <row r="202" spans="1:20" x14ac:dyDescent="0.2">
      <c r="A202" s="103"/>
      <c r="B202" s="28" t="s">
        <v>285</v>
      </c>
      <c r="C202" s="22" t="s">
        <v>818</v>
      </c>
      <c r="D202" s="2" t="s">
        <v>818</v>
      </c>
      <c r="E202" s="5">
        <v>952</v>
      </c>
      <c r="F202" s="2" t="b">
        <v>1</v>
      </c>
      <c r="G202" s="5">
        <v>67226</v>
      </c>
      <c r="H202" s="2" t="s">
        <v>818</v>
      </c>
      <c r="I202" s="5">
        <v>9497</v>
      </c>
      <c r="J202" s="2" t="b">
        <v>1</v>
      </c>
      <c r="K202" s="5">
        <v>5207</v>
      </c>
      <c r="L202" s="4" t="b">
        <v>1</v>
      </c>
      <c r="M202" s="5">
        <v>7383</v>
      </c>
      <c r="N202" s="2" t="s">
        <v>876</v>
      </c>
      <c r="O202" s="5">
        <v>404</v>
      </c>
      <c r="P202" s="2" t="s">
        <v>818</v>
      </c>
      <c r="Q202" s="5">
        <v>18810</v>
      </c>
      <c r="R202" s="2"/>
      <c r="T202" s="2"/>
    </row>
    <row r="203" spans="1:20" x14ac:dyDescent="0.2">
      <c r="A203" s="103"/>
      <c r="B203" s="28" t="s">
        <v>284</v>
      </c>
      <c r="C203" s="22" t="s">
        <v>818</v>
      </c>
      <c r="D203" s="2" t="s">
        <v>818</v>
      </c>
      <c r="E203" s="5">
        <v>1356</v>
      </c>
      <c r="F203" s="2" t="b">
        <v>1</v>
      </c>
      <c r="G203" s="5">
        <v>49082</v>
      </c>
      <c r="H203" s="2" t="s">
        <v>818</v>
      </c>
      <c r="I203" s="5">
        <v>6540</v>
      </c>
      <c r="J203" s="2" t="b">
        <v>1</v>
      </c>
      <c r="K203" s="5">
        <v>14556</v>
      </c>
      <c r="L203" s="4" t="b">
        <v>1</v>
      </c>
      <c r="M203" s="5">
        <v>7496</v>
      </c>
      <c r="N203" s="2" t="s">
        <v>876</v>
      </c>
      <c r="O203" s="5">
        <v>595</v>
      </c>
      <c r="P203" s="2" t="s">
        <v>818</v>
      </c>
      <c r="Q203" s="5">
        <v>3357</v>
      </c>
      <c r="R203" s="2"/>
      <c r="T203" s="2"/>
    </row>
    <row r="204" spans="1:20" x14ac:dyDescent="0.2">
      <c r="A204" s="103"/>
      <c r="B204" s="28" t="s">
        <v>283</v>
      </c>
      <c r="C204" s="22" t="s">
        <v>818</v>
      </c>
      <c r="D204" s="2" t="s">
        <v>818</v>
      </c>
      <c r="E204" s="5">
        <v>790</v>
      </c>
      <c r="F204" s="2" t="b">
        <v>1</v>
      </c>
      <c r="G204" s="5">
        <v>182804</v>
      </c>
      <c r="H204" s="2" t="s">
        <v>818</v>
      </c>
      <c r="I204" s="5">
        <v>8696</v>
      </c>
      <c r="J204" s="2" t="b">
        <v>1</v>
      </c>
      <c r="K204" s="5">
        <v>3366</v>
      </c>
      <c r="L204" s="4" t="b">
        <v>1</v>
      </c>
      <c r="M204" s="5">
        <v>6777</v>
      </c>
      <c r="N204" s="2" t="s">
        <v>876</v>
      </c>
      <c r="O204" s="5">
        <v>464</v>
      </c>
      <c r="P204" s="2" t="s">
        <v>818</v>
      </c>
      <c r="Q204" s="5">
        <v>5819</v>
      </c>
      <c r="R204" s="2"/>
      <c r="T204" s="2"/>
    </row>
    <row r="205" spans="1:20" x14ac:dyDescent="0.2">
      <c r="A205" s="103"/>
      <c r="B205" s="28" t="s">
        <v>282</v>
      </c>
      <c r="C205" s="22" t="s">
        <v>818</v>
      </c>
      <c r="D205" s="2" t="s">
        <v>818</v>
      </c>
      <c r="E205" s="5">
        <v>401</v>
      </c>
      <c r="F205" s="2" t="b">
        <v>1</v>
      </c>
      <c r="G205" s="5">
        <v>35307</v>
      </c>
      <c r="H205" s="2" t="s">
        <v>818</v>
      </c>
      <c r="I205" s="5">
        <v>7012</v>
      </c>
      <c r="J205" s="2" t="b">
        <v>1</v>
      </c>
      <c r="K205" s="5">
        <v>2759</v>
      </c>
      <c r="L205" s="4" t="b">
        <v>1</v>
      </c>
      <c r="M205" s="5">
        <v>5974</v>
      </c>
      <c r="N205" s="2" t="s">
        <v>876</v>
      </c>
      <c r="O205" s="5">
        <v>435</v>
      </c>
      <c r="P205" s="2" t="s">
        <v>818</v>
      </c>
      <c r="Q205" s="5">
        <v>2148</v>
      </c>
      <c r="R205" s="2"/>
      <c r="T205" s="2"/>
    </row>
    <row r="206" spans="1:20" x14ac:dyDescent="0.2">
      <c r="A206" s="103"/>
      <c r="B206" s="44" t="s">
        <v>281</v>
      </c>
      <c r="C206" s="22" t="s">
        <v>818</v>
      </c>
      <c r="D206" s="2" t="s">
        <v>819</v>
      </c>
      <c r="E206" s="5">
        <v>1327</v>
      </c>
      <c r="F206" s="2" t="b">
        <v>1</v>
      </c>
      <c r="G206" s="5">
        <v>2269</v>
      </c>
      <c r="H206" s="2" t="s">
        <v>818</v>
      </c>
      <c r="I206" s="5">
        <v>6718</v>
      </c>
      <c r="J206" s="2" t="b">
        <v>1</v>
      </c>
      <c r="K206" s="5">
        <v>3699</v>
      </c>
      <c r="L206" s="4" t="s">
        <v>838</v>
      </c>
      <c r="M206" s="5">
        <v>3849</v>
      </c>
      <c r="N206" s="64" t="s">
        <v>822</v>
      </c>
      <c r="O206" s="5">
        <v>733</v>
      </c>
      <c r="P206" s="2" t="s">
        <v>818</v>
      </c>
      <c r="Q206" s="5">
        <v>1073</v>
      </c>
      <c r="R206" s="2" t="s">
        <v>101</v>
      </c>
      <c r="T206" s="2"/>
    </row>
    <row r="207" spans="1:20" x14ac:dyDescent="0.2">
      <c r="A207" s="103"/>
      <c r="B207" s="28" t="s">
        <v>280</v>
      </c>
      <c r="C207" s="22" t="s">
        <v>818</v>
      </c>
      <c r="D207" s="2" t="s">
        <v>818</v>
      </c>
      <c r="E207" s="5">
        <v>409</v>
      </c>
      <c r="F207" s="2" t="b">
        <v>1</v>
      </c>
      <c r="G207" s="5">
        <v>182252</v>
      </c>
      <c r="H207" s="2" t="s">
        <v>818</v>
      </c>
      <c r="I207" s="5">
        <v>4760</v>
      </c>
      <c r="J207" s="2" t="b">
        <v>1</v>
      </c>
      <c r="K207" s="5">
        <v>3189</v>
      </c>
      <c r="L207" s="4" t="b">
        <v>1</v>
      </c>
      <c r="M207" s="5">
        <v>5870</v>
      </c>
      <c r="N207" s="2" t="s">
        <v>876</v>
      </c>
      <c r="O207" s="5">
        <v>393</v>
      </c>
      <c r="P207" s="2" t="s">
        <v>818</v>
      </c>
      <c r="Q207" s="5">
        <v>1284</v>
      </c>
      <c r="R207" s="2"/>
      <c r="T207" s="2"/>
    </row>
    <row r="208" spans="1:20" x14ac:dyDescent="0.2">
      <c r="A208" s="103"/>
      <c r="B208" s="28" t="s">
        <v>279</v>
      </c>
      <c r="C208" s="61" t="s">
        <v>818</v>
      </c>
      <c r="D208" s="2" t="s">
        <v>818</v>
      </c>
      <c r="E208" s="5">
        <v>2584</v>
      </c>
      <c r="F208" s="2" t="b">
        <v>1</v>
      </c>
      <c r="G208" s="5">
        <v>89212</v>
      </c>
      <c r="H208" s="64" t="s">
        <v>837</v>
      </c>
      <c r="I208" s="5">
        <v>910035</v>
      </c>
      <c r="J208" s="2" t="s">
        <v>833</v>
      </c>
      <c r="K208" s="5">
        <v>12940</v>
      </c>
      <c r="L208" s="4" t="s">
        <v>833</v>
      </c>
      <c r="M208" s="5">
        <v>6422</v>
      </c>
      <c r="N208" s="2" t="s">
        <v>823</v>
      </c>
      <c r="O208" s="5">
        <v>550</v>
      </c>
      <c r="P208" s="2" t="s">
        <v>818</v>
      </c>
      <c r="Q208" s="5">
        <v>6965</v>
      </c>
      <c r="R208" s="2"/>
      <c r="T208" s="2"/>
    </row>
    <row r="209" spans="1:20" x14ac:dyDescent="0.2">
      <c r="A209" s="103"/>
      <c r="B209" s="28" t="s">
        <v>278</v>
      </c>
      <c r="C209" s="22" t="s">
        <v>818</v>
      </c>
      <c r="D209" s="2" t="s">
        <v>818</v>
      </c>
      <c r="E209" s="5">
        <v>441</v>
      </c>
      <c r="F209" s="2" t="b">
        <v>1</v>
      </c>
      <c r="G209" s="5">
        <v>49678</v>
      </c>
      <c r="H209" s="2" t="s">
        <v>818</v>
      </c>
      <c r="I209" s="5">
        <v>6339</v>
      </c>
      <c r="J209" s="2" t="s">
        <v>833</v>
      </c>
      <c r="K209" s="5">
        <v>10800</v>
      </c>
      <c r="L209" s="4" t="s">
        <v>833</v>
      </c>
      <c r="M209" s="5">
        <v>900984</v>
      </c>
      <c r="N209" s="2" t="s">
        <v>876</v>
      </c>
      <c r="O209" s="5">
        <v>407</v>
      </c>
      <c r="P209" s="2" t="s">
        <v>818</v>
      </c>
      <c r="Q209" s="5">
        <v>92586</v>
      </c>
      <c r="R209" s="2"/>
      <c r="T209" s="2"/>
    </row>
    <row r="210" spans="1:20" x14ac:dyDescent="0.2">
      <c r="A210" s="103"/>
      <c r="B210" s="28" t="s">
        <v>277</v>
      </c>
      <c r="C210" s="22" t="s">
        <v>818</v>
      </c>
      <c r="D210" s="2" t="s">
        <v>818</v>
      </c>
      <c r="E210" s="5">
        <v>451</v>
      </c>
      <c r="F210" s="2" t="b">
        <v>1</v>
      </c>
      <c r="G210" s="5">
        <v>49273</v>
      </c>
      <c r="H210" s="2" t="s">
        <v>818</v>
      </c>
      <c r="I210" s="5">
        <v>5500</v>
      </c>
      <c r="J210" s="2" t="s">
        <v>833</v>
      </c>
      <c r="K210" s="5">
        <v>10782</v>
      </c>
      <c r="L210" s="4" t="s">
        <v>833</v>
      </c>
      <c r="M210" s="5">
        <v>900992</v>
      </c>
      <c r="N210" s="2" t="s">
        <v>823</v>
      </c>
      <c r="O210" s="5">
        <v>630</v>
      </c>
      <c r="P210" s="2" t="s">
        <v>818</v>
      </c>
      <c r="Q210" s="5">
        <v>2359</v>
      </c>
      <c r="R210" s="2"/>
      <c r="T210" s="2"/>
    </row>
    <row r="211" spans="1:20" x14ac:dyDescent="0.2">
      <c r="A211" s="103"/>
      <c r="B211" s="28" t="s">
        <v>276</v>
      </c>
      <c r="C211" s="22" t="s">
        <v>818</v>
      </c>
      <c r="D211" s="2" t="s">
        <v>837</v>
      </c>
      <c r="E211" s="5">
        <v>900612</v>
      </c>
      <c r="F211" s="2" t="s">
        <v>883</v>
      </c>
      <c r="G211" s="5">
        <v>130756</v>
      </c>
      <c r="H211" s="2" t="s">
        <v>818</v>
      </c>
      <c r="I211" s="5">
        <v>40642</v>
      </c>
      <c r="J211" s="2" t="b">
        <v>1</v>
      </c>
      <c r="K211" s="5">
        <v>13157</v>
      </c>
      <c r="L211" s="4" t="s">
        <v>838</v>
      </c>
      <c r="M211" s="5">
        <v>614007</v>
      </c>
      <c r="N211" s="2" t="s">
        <v>876</v>
      </c>
      <c r="O211" s="5">
        <v>46290</v>
      </c>
      <c r="P211" s="2" t="s">
        <v>838</v>
      </c>
      <c r="Q211" s="5">
        <v>725852</v>
      </c>
      <c r="R211" s="2"/>
      <c r="T211" s="2"/>
    </row>
    <row r="212" spans="1:20" x14ac:dyDescent="0.2">
      <c r="A212" s="103"/>
      <c r="B212" s="44" t="s">
        <v>275</v>
      </c>
      <c r="C212" s="22" t="s">
        <v>818</v>
      </c>
      <c r="D212" s="2" t="s">
        <v>819</v>
      </c>
      <c r="E212" s="5">
        <v>1344</v>
      </c>
      <c r="F212" s="2" t="b">
        <v>1</v>
      </c>
      <c r="G212" s="5">
        <v>4302</v>
      </c>
      <c r="H212" s="2" t="s">
        <v>818</v>
      </c>
      <c r="I212" s="5">
        <v>10173</v>
      </c>
      <c r="J212" s="64" t="s">
        <v>833</v>
      </c>
      <c r="K212" s="5">
        <v>903148</v>
      </c>
      <c r="L212" s="4" t="s">
        <v>838</v>
      </c>
      <c r="M212" s="5">
        <v>3702</v>
      </c>
      <c r="N212" s="2" t="s">
        <v>876</v>
      </c>
      <c r="O212" s="5">
        <v>287</v>
      </c>
      <c r="P212" s="2" t="s">
        <v>818</v>
      </c>
      <c r="Q212" s="5">
        <v>1609</v>
      </c>
      <c r="R212" s="2" t="s">
        <v>101</v>
      </c>
      <c r="T212" s="2"/>
    </row>
    <row r="213" spans="1:20" x14ac:dyDescent="0.2">
      <c r="A213" s="103"/>
      <c r="B213" s="28" t="s">
        <v>274</v>
      </c>
      <c r="C213" s="22" t="s">
        <v>818</v>
      </c>
      <c r="D213" s="2" t="s">
        <v>818</v>
      </c>
      <c r="E213" s="5">
        <v>3105</v>
      </c>
      <c r="F213" s="2" t="b">
        <v>1</v>
      </c>
      <c r="G213" s="5">
        <v>11017</v>
      </c>
      <c r="H213" s="2" t="s">
        <v>818</v>
      </c>
      <c r="I213" s="5">
        <v>5351</v>
      </c>
      <c r="J213" s="2" t="b">
        <v>1</v>
      </c>
      <c r="K213" s="5">
        <v>7036</v>
      </c>
      <c r="L213" s="4" t="b">
        <v>1</v>
      </c>
      <c r="M213" s="5">
        <v>9752</v>
      </c>
      <c r="N213" s="2" t="s">
        <v>876</v>
      </c>
      <c r="O213" s="5">
        <v>518</v>
      </c>
      <c r="P213" s="2" t="s">
        <v>820</v>
      </c>
      <c r="Q213" s="5">
        <v>2140</v>
      </c>
      <c r="R213" s="2"/>
      <c r="T213" s="2"/>
    </row>
    <row r="214" spans="1:20" x14ac:dyDescent="0.2">
      <c r="A214" s="103"/>
      <c r="B214" s="44" t="s">
        <v>273</v>
      </c>
      <c r="C214" s="22" t="s">
        <v>818</v>
      </c>
      <c r="D214" s="75" t="s">
        <v>818</v>
      </c>
      <c r="E214" s="5">
        <v>1354</v>
      </c>
      <c r="F214" s="2" t="b">
        <v>1</v>
      </c>
      <c r="G214" s="5">
        <v>10627</v>
      </c>
      <c r="H214" s="2" t="s">
        <v>818</v>
      </c>
      <c r="I214" s="5">
        <v>8074</v>
      </c>
      <c r="J214" s="2" t="b">
        <v>1</v>
      </c>
      <c r="K214" s="5">
        <v>5379</v>
      </c>
      <c r="L214" s="4" t="s">
        <v>838</v>
      </c>
      <c r="M214" s="5">
        <v>3795</v>
      </c>
      <c r="N214" s="2" t="s">
        <v>876</v>
      </c>
      <c r="O214" s="5">
        <v>276</v>
      </c>
      <c r="P214" s="2" t="s">
        <v>818</v>
      </c>
      <c r="Q214" s="5">
        <v>1137</v>
      </c>
      <c r="R214" s="2" t="s">
        <v>812</v>
      </c>
      <c r="T214" s="2"/>
    </row>
    <row r="215" spans="1:20" x14ac:dyDescent="0.2">
      <c r="A215" s="103"/>
      <c r="B215" s="28" t="s">
        <v>272</v>
      </c>
      <c r="C215" s="22" t="s">
        <v>818</v>
      </c>
      <c r="D215" s="2" t="s">
        <v>818</v>
      </c>
      <c r="E215" s="5">
        <v>1340</v>
      </c>
      <c r="F215" s="2" t="b">
        <v>1</v>
      </c>
      <c r="G215" s="5">
        <v>45829</v>
      </c>
      <c r="H215" s="2" t="s">
        <v>838</v>
      </c>
      <c r="I215" s="5">
        <v>25982</v>
      </c>
      <c r="J215" s="2" t="b">
        <v>1</v>
      </c>
      <c r="K215" s="5">
        <v>3018</v>
      </c>
      <c r="L215" s="4" t="s">
        <v>833</v>
      </c>
      <c r="M215" s="5">
        <v>5902</v>
      </c>
      <c r="N215" s="2" t="s">
        <v>876</v>
      </c>
      <c r="O215" s="5">
        <v>353</v>
      </c>
      <c r="P215" s="2" t="s">
        <v>818</v>
      </c>
      <c r="Q215" s="5">
        <v>1574</v>
      </c>
      <c r="R215" s="2"/>
      <c r="T215" s="2"/>
    </row>
    <row r="216" spans="1:20" x14ac:dyDescent="0.2">
      <c r="A216" s="103"/>
      <c r="B216" s="28" t="s">
        <v>271</v>
      </c>
      <c r="C216" s="22" t="s">
        <v>818</v>
      </c>
      <c r="D216" s="2" t="s">
        <v>838</v>
      </c>
      <c r="E216" s="5">
        <v>1438</v>
      </c>
      <c r="F216" s="2" t="b">
        <v>1</v>
      </c>
      <c r="G216" s="5">
        <v>8341</v>
      </c>
      <c r="H216" s="2" t="s">
        <v>818</v>
      </c>
      <c r="I216" s="5">
        <v>4881</v>
      </c>
      <c r="J216" s="2" t="b">
        <v>1</v>
      </c>
      <c r="K216" s="5">
        <v>2614</v>
      </c>
      <c r="L216" s="4" t="b">
        <v>1</v>
      </c>
      <c r="M216" s="5">
        <v>9365</v>
      </c>
      <c r="N216" s="2" t="s">
        <v>876</v>
      </c>
      <c r="O216" s="5">
        <v>414</v>
      </c>
      <c r="P216" s="2" t="s">
        <v>818</v>
      </c>
      <c r="Q216" s="5">
        <v>4967</v>
      </c>
      <c r="R216" s="2"/>
      <c r="T216" s="2"/>
    </row>
    <row r="217" spans="1:20" x14ac:dyDescent="0.2">
      <c r="A217" s="103"/>
      <c r="B217" s="28" t="s">
        <v>270</v>
      </c>
      <c r="C217" s="22" t="s">
        <v>818</v>
      </c>
      <c r="D217" s="2" t="s">
        <v>818</v>
      </c>
      <c r="E217" s="5">
        <v>1623</v>
      </c>
      <c r="F217" s="2" t="b">
        <v>1</v>
      </c>
      <c r="G217" s="5">
        <v>8945</v>
      </c>
      <c r="H217" s="2" t="s">
        <v>818</v>
      </c>
      <c r="I217" s="5">
        <v>6411</v>
      </c>
      <c r="J217" s="2" t="b">
        <v>1</v>
      </c>
      <c r="K217" s="5">
        <v>2722</v>
      </c>
      <c r="L217" s="4" t="b">
        <v>1</v>
      </c>
      <c r="M217" s="5">
        <v>10397</v>
      </c>
      <c r="N217" s="2" t="s">
        <v>876</v>
      </c>
      <c r="O217" s="5">
        <v>373</v>
      </c>
      <c r="P217" s="2" t="s">
        <v>818</v>
      </c>
      <c r="Q217" s="5">
        <v>7130</v>
      </c>
      <c r="R217" s="2"/>
      <c r="T217" s="2"/>
    </row>
    <row r="218" spans="1:20" x14ac:dyDescent="0.2">
      <c r="A218" s="103"/>
      <c r="B218" s="28" t="s">
        <v>269</v>
      </c>
      <c r="C218" s="22" t="s">
        <v>818</v>
      </c>
      <c r="D218" s="2" t="s">
        <v>818</v>
      </c>
      <c r="E218" s="5">
        <v>1565</v>
      </c>
      <c r="F218" s="2" t="b">
        <v>1</v>
      </c>
      <c r="G218" s="5">
        <v>44894</v>
      </c>
      <c r="H218" s="2" t="s">
        <v>818</v>
      </c>
      <c r="I218" s="5">
        <v>4865</v>
      </c>
      <c r="J218" s="2" t="b">
        <v>1</v>
      </c>
      <c r="K218" s="5">
        <v>2888</v>
      </c>
      <c r="L218" s="4" t="s">
        <v>833</v>
      </c>
      <c r="M218" s="5">
        <v>901807</v>
      </c>
      <c r="N218" s="2" t="s">
        <v>876</v>
      </c>
      <c r="O218" s="5">
        <v>395</v>
      </c>
      <c r="P218" s="2" t="s">
        <v>818</v>
      </c>
      <c r="Q218" s="5">
        <v>2085</v>
      </c>
      <c r="R218" s="2"/>
      <c r="T218" s="2"/>
    </row>
    <row r="219" spans="1:20" x14ac:dyDescent="0.2">
      <c r="A219" s="103"/>
      <c r="B219" s="28" t="s">
        <v>268</v>
      </c>
      <c r="C219" s="22" t="s">
        <v>818</v>
      </c>
      <c r="D219" s="2" t="s">
        <v>818</v>
      </c>
      <c r="E219" s="5">
        <v>3671</v>
      </c>
      <c r="F219" s="2" t="b">
        <v>1</v>
      </c>
      <c r="G219" s="5">
        <v>9115</v>
      </c>
      <c r="H219" s="2" t="s">
        <v>818</v>
      </c>
      <c r="I219" s="5">
        <v>9138</v>
      </c>
      <c r="J219" s="2" t="b">
        <v>1</v>
      </c>
      <c r="K219" s="5">
        <v>4446</v>
      </c>
      <c r="L219" s="4" t="b">
        <v>1</v>
      </c>
      <c r="M219" s="5">
        <v>8791</v>
      </c>
      <c r="N219" s="2" t="s">
        <v>876</v>
      </c>
      <c r="O219" s="5">
        <v>474</v>
      </c>
      <c r="P219" s="2" t="s">
        <v>818</v>
      </c>
      <c r="Q219" s="5">
        <v>54872</v>
      </c>
      <c r="R219" s="2"/>
      <c r="T219" s="2"/>
    </row>
    <row r="220" spans="1:20" x14ac:dyDescent="0.2">
      <c r="A220" s="103"/>
      <c r="B220" s="28" t="s">
        <v>267</v>
      </c>
      <c r="C220" s="22" t="s">
        <v>818</v>
      </c>
      <c r="D220" s="2" t="s">
        <v>818</v>
      </c>
      <c r="E220" s="5">
        <v>1634</v>
      </c>
      <c r="F220" s="2" t="b">
        <v>1</v>
      </c>
      <c r="G220" s="5">
        <v>9784</v>
      </c>
      <c r="H220" s="2" t="s">
        <v>818</v>
      </c>
      <c r="I220" s="5">
        <v>6083</v>
      </c>
      <c r="J220" s="2" t="b">
        <v>1</v>
      </c>
      <c r="K220" s="5">
        <v>3334</v>
      </c>
      <c r="L220" s="4" t="b">
        <v>1</v>
      </c>
      <c r="M220" s="5">
        <v>265765</v>
      </c>
      <c r="N220" s="2" t="s">
        <v>876</v>
      </c>
      <c r="O220" s="5">
        <v>489</v>
      </c>
      <c r="P220" s="2" t="s">
        <v>818</v>
      </c>
      <c r="Q220" s="5">
        <v>25368</v>
      </c>
      <c r="R220" s="2"/>
      <c r="T220" s="2"/>
    </row>
    <row r="221" spans="1:20" x14ac:dyDescent="0.2">
      <c r="A221" s="103"/>
      <c r="B221" s="44" t="s">
        <v>266</v>
      </c>
      <c r="C221" s="22" t="s">
        <v>818</v>
      </c>
      <c r="D221" s="75" t="s">
        <v>818</v>
      </c>
      <c r="E221" s="5">
        <v>1357</v>
      </c>
      <c r="F221" s="2" t="b">
        <v>1</v>
      </c>
      <c r="G221" s="5">
        <v>21822</v>
      </c>
      <c r="H221" s="2" t="s">
        <v>818</v>
      </c>
      <c r="I221" s="5">
        <v>12222</v>
      </c>
      <c r="J221" s="2" t="b">
        <v>1</v>
      </c>
      <c r="K221" s="5">
        <v>5029</v>
      </c>
      <c r="L221" s="4" t="s">
        <v>838</v>
      </c>
      <c r="M221" s="5">
        <v>3787</v>
      </c>
      <c r="N221" s="2" t="s">
        <v>876</v>
      </c>
      <c r="O221" s="5">
        <v>296</v>
      </c>
      <c r="P221" s="2" t="s">
        <v>818</v>
      </c>
      <c r="Q221" s="5">
        <v>1187</v>
      </c>
      <c r="R221" s="2" t="s">
        <v>813</v>
      </c>
      <c r="T221" s="2"/>
    </row>
    <row r="222" spans="1:20" x14ac:dyDescent="0.2">
      <c r="A222" s="103"/>
      <c r="B222" s="44" t="s">
        <v>265</v>
      </c>
      <c r="C222" s="22" t="s">
        <v>818</v>
      </c>
      <c r="D222" s="2" t="s">
        <v>819</v>
      </c>
      <c r="E222" s="5">
        <v>1339</v>
      </c>
      <c r="F222" s="2" t="b">
        <v>1</v>
      </c>
      <c r="G222" s="5">
        <v>2283</v>
      </c>
      <c r="H222" s="2" t="s">
        <v>818</v>
      </c>
      <c r="I222" s="5">
        <v>5815</v>
      </c>
      <c r="J222" s="2" t="b">
        <v>1</v>
      </c>
      <c r="K222" s="5">
        <v>3075</v>
      </c>
      <c r="L222" s="4" t="s">
        <v>838</v>
      </c>
      <c r="M222" s="5">
        <v>3887</v>
      </c>
      <c r="N222" s="2" t="s">
        <v>876</v>
      </c>
      <c r="O222" s="5">
        <v>275</v>
      </c>
      <c r="P222" s="2" t="s">
        <v>818</v>
      </c>
      <c r="Q222" s="5">
        <v>810</v>
      </c>
      <c r="R222" s="2" t="s">
        <v>813</v>
      </c>
      <c r="T222" s="2"/>
    </row>
    <row r="223" spans="1:20" x14ac:dyDescent="0.2">
      <c r="A223" s="103"/>
      <c r="B223" s="28" t="s">
        <v>264</v>
      </c>
      <c r="C223" s="22" t="s">
        <v>818</v>
      </c>
      <c r="D223" s="2" t="s">
        <v>818</v>
      </c>
      <c r="E223" s="5">
        <v>42676</v>
      </c>
      <c r="F223" s="2" t="b">
        <v>1</v>
      </c>
      <c r="G223" s="5">
        <v>2764</v>
      </c>
      <c r="H223" s="2" t="s">
        <v>818</v>
      </c>
      <c r="I223" s="5">
        <v>25473</v>
      </c>
      <c r="J223" s="2" t="b">
        <v>1</v>
      </c>
      <c r="K223" s="5">
        <v>3387</v>
      </c>
      <c r="L223" s="4" t="s">
        <v>838</v>
      </c>
      <c r="M223" s="5">
        <v>6808</v>
      </c>
      <c r="N223" s="2" t="s">
        <v>823</v>
      </c>
      <c r="O223" s="5">
        <v>589</v>
      </c>
      <c r="P223" s="2" t="s">
        <v>818</v>
      </c>
      <c r="Q223" s="5">
        <v>767622</v>
      </c>
      <c r="R223" s="2"/>
      <c r="T223" s="2"/>
    </row>
    <row r="224" spans="1:20" x14ac:dyDescent="0.2">
      <c r="A224" s="103"/>
      <c r="B224" s="44" t="s">
        <v>263</v>
      </c>
      <c r="C224" s="22" t="s">
        <v>818</v>
      </c>
      <c r="D224" s="75" t="s">
        <v>818</v>
      </c>
      <c r="E224" s="5">
        <v>1302</v>
      </c>
      <c r="F224" s="2" t="b">
        <v>1</v>
      </c>
      <c r="G224" s="5">
        <v>2266</v>
      </c>
      <c r="H224" s="2" t="s">
        <v>818</v>
      </c>
      <c r="I224" s="5">
        <v>6241</v>
      </c>
      <c r="J224" s="2" t="b">
        <v>1</v>
      </c>
      <c r="K224" s="5">
        <v>2956</v>
      </c>
      <c r="L224" s="4" t="s">
        <v>838</v>
      </c>
      <c r="M224" s="5">
        <v>3758</v>
      </c>
      <c r="N224" s="2" t="s">
        <v>876</v>
      </c>
      <c r="O224" s="5">
        <v>318</v>
      </c>
      <c r="P224" s="2" t="s">
        <v>818</v>
      </c>
      <c r="Q224" s="5">
        <v>1663</v>
      </c>
      <c r="R224" s="2" t="s">
        <v>813</v>
      </c>
      <c r="T224" s="2"/>
    </row>
    <row r="225" spans="1:20" s="8" customFormat="1" ht="21" thickBot="1" x14ac:dyDescent="0.25">
      <c r="A225" s="103"/>
      <c r="B225" s="45" t="s">
        <v>262</v>
      </c>
      <c r="C225" s="23" t="s">
        <v>818</v>
      </c>
      <c r="D225" s="80" t="s">
        <v>818</v>
      </c>
      <c r="E225" s="7">
        <v>1382</v>
      </c>
      <c r="F225" s="6" t="b">
        <v>1</v>
      </c>
      <c r="G225" s="7">
        <v>2260</v>
      </c>
      <c r="H225" s="9" t="s">
        <v>818</v>
      </c>
      <c r="I225" s="7">
        <v>6887</v>
      </c>
      <c r="J225" s="9" t="b">
        <v>1</v>
      </c>
      <c r="K225" s="7">
        <v>13316</v>
      </c>
      <c r="L225" s="6" t="s">
        <v>838</v>
      </c>
      <c r="M225" s="7">
        <v>3814</v>
      </c>
      <c r="N225" s="9" t="s">
        <v>876</v>
      </c>
      <c r="O225" s="7">
        <v>315</v>
      </c>
      <c r="P225" s="9" t="s">
        <v>818</v>
      </c>
      <c r="Q225" s="7">
        <v>1270</v>
      </c>
      <c r="R225" s="9" t="s">
        <v>813</v>
      </c>
      <c r="S225" s="9"/>
      <c r="T225" s="9"/>
    </row>
    <row r="226" spans="1:20" x14ac:dyDescent="0.2">
      <c r="A226" s="102" t="s">
        <v>332</v>
      </c>
      <c r="B226" s="48" t="s">
        <v>333</v>
      </c>
      <c r="C226" s="61" t="s">
        <v>818</v>
      </c>
      <c r="D226" s="2" t="s">
        <v>819</v>
      </c>
      <c r="E226" s="5">
        <v>1350</v>
      </c>
      <c r="F226" s="2" t="b">
        <v>0</v>
      </c>
      <c r="G226" s="5">
        <v>5306</v>
      </c>
      <c r="H226" s="2" t="s">
        <v>819</v>
      </c>
      <c r="I226" s="5">
        <v>6522</v>
      </c>
      <c r="J226" s="2" t="s">
        <v>838</v>
      </c>
      <c r="K226" s="5">
        <v>3551</v>
      </c>
      <c r="L226" s="4" t="s">
        <v>833</v>
      </c>
      <c r="M226" s="5">
        <v>901179</v>
      </c>
      <c r="N226" s="2" t="s">
        <v>823</v>
      </c>
      <c r="O226" s="5">
        <v>881</v>
      </c>
      <c r="P226" s="2" t="s">
        <v>818</v>
      </c>
      <c r="Q226" s="5">
        <v>1473</v>
      </c>
      <c r="T226" s="2" t="s">
        <v>815</v>
      </c>
    </row>
    <row r="227" spans="1:20" x14ac:dyDescent="0.2">
      <c r="A227" s="103"/>
      <c r="B227" s="48" t="s">
        <v>338</v>
      </c>
      <c r="C227" s="61" t="s">
        <v>818</v>
      </c>
      <c r="D227" s="2" t="s">
        <v>819</v>
      </c>
      <c r="E227" s="5">
        <v>1103</v>
      </c>
      <c r="F227" s="2" t="b">
        <v>0</v>
      </c>
      <c r="G227" s="5">
        <v>3407</v>
      </c>
      <c r="H227" s="2" t="s">
        <v>819</v>
      </c>
      <c r="I227" s="5">
        <v>5870</v>
      </c>
      <c r="J227" s="64" t="s">
        <v>833</v>
      </c>
      <c r="K227" s="5">
        <v>900362</v>
      </c>
      <c r="L227" s="4" t="s">
        <v>833</v>
      </c>
      <c r="M227" s="5">
        <v>901510</v>
      </c>
      <c r="N227" s="2" t="s">
        <v>823</v>
      </c>
      <c r="O227" s="5">
        <v>500</v>
      </c>
      <c r="P227" s="2" t="s">
        <v>818</v>
      </c>
      <c r="Q227" s="5">
        <v>1498</v>
      </c>
      <c r="T227" s="2" t="s">
        <v>815</v>
      </c>
    </row>
    <row r="228" spans="1:20" x14ac:dyDescent="0.2">
      <c r="A228" s="103"/>
      <c r="B228" s="48" t="s">
        <v>334</v>
      </c>
      <c r="C228" s="22" t="s">
        <v>818</v>
      </c>
      <c r="D228" s="2" t="s">
        <v>819</v>
      </c>
      <c r="E228" s="5">
        <v>2011</v>
      </c>
      <c r="F228" s="2" t="b">
        <v>0</v>
      </c>
      <c r="G228" s="5">
        <v>7703</v>
      </c>
      <c r="H228" s="2" t="s">
        <v>838</v>
      </c>
      <c r="I228" s="5">
        <v>223924</v>
      </c>
      <c r="J228" s="64" t="s">
        <v>833</v>
      </c>
      <c r="K228" s="5">
        <v>902218</v>
      </c>
      <c r="L228" s="4" t="s">
        <v>837</v>
      </c>
      <c r="M228" s="5">
        <v>911806</v>
      </c>
      <c r="N228" s="2" t="s">
        <v>823</v>
      </c>
      <c r="O228" s="5">
        <v>1049</v>
      </c>
      <c r="P228" s="2" t="s">
        <v>818</v>
      </c>
      <c r="Q228" s="5">
        <v>1524</v>
      </c>
      <c r="T228" s="2" t="s">
        <v>815</v>
      </c>
    </row>
    <row r="229" spans="1:20" x14ac:dyDescent="0.2">
      <c r="A229" s="103"/>
      <c r="B229" s="48" t="s">
        <v>336</v>
      </c>
      <c r="C229" s="61" t="s">
        <v>818</v>
      </c>
      <c r="D229" s="2" t="s">
        <v>819</v>
      </c>
      <c r="E229" s="5">
        <v>1201</v>
      </c>
      <c r="F229" s="2" t="b">
        <v>0</v>
      </c>
      <c r="G229" s="5">
        <v>3434</v>
      </c>
      <c r="H229" s="2" t="s">
        <v>819</v>
      </c>
      <c r="I229" s="5">
        <v>15926</v>
      </c>
      <c r="J229" s="2" t="s">
        <v>833</v>
      </c>
      <c r="K229" s="5">
        <v>190541</v>
      </c>
      <c r="L229" s="4" t="s">
        <v>833</v>
      </c>
      <c r="M229" s="5">
        <v>223271</v>
      </c>
      <c r="N229" s="2" t="s">
        <v>823</v>
      </c>
      <c r="O229" s="5">
        <v>494</v>
      </c>
      <c r="P229" s="2" t="s">
        <v>818</v>
      </c>
      <c r="Q229" s="5">
        <v>1212</v>
      </c>
      <c r="T229" s="2" t="s">
        <v>815</v>
      </c>
    </row>
    <row r="230" spans="1:20" x14ac:dyDescent="0.2">
      <c r="A230" s="103"/>
      <c r="B230" s="48" t="s">
        <v>337</v>
      </c>
      <c r="C230" s="61" t="s">
        <v>818</v>
      </c>
      <c r="D230" s="2" t="s">
        <v>819</v>
      </c>
      <c r="E230" s="5">
        <v>3345</v>
      </c>
      <c r="F230" s="2" t="b">
        <v>0</v>
      </c>
      <c r="G230" s="5">
        <v>2626</v>
      </c>
      <c r="H230" s="2" t="s">
        <v>838</v>
      </c>
      <c r="I230" s="5">
        <v>66444</v>
      </c>
      <c r="J230" s="64" t="s">
        <v>833</v>
      </c>
      <c r="K230" s="5">
        <v>902266</v>
      </c>
      <c r="L230" s="4" t="s">
        <v>833</v>
      </c>
      <c r="M230" s="5">
        <v>904340</v>
      </c>
      <c r="N230" s="2" t="s">
        <v>823</v>
      </c>
      <c r="O230" s="5">
        <v>1923</v>
      </c>
      <c r="P230" s="2" t="s">
        <v>818</v>
      </c>
      <c r="Q230" s="5">
        <v>1471</v>
      </c>
      <c r="T230" s="2" t="s">
        <v>815</v>
      </c>
    </row>
    <row r="231" spans="1:20" x14ac:dyDescent="0.2">
      <c r="A231" s="103"/>
      <c r="B231" s="48" t="s">
        <v>335</v>
      </c>
      <c r="C231" s="61" t="s">
        <v>818</v>
      </c>
      <c r="D231" s="2" t="s">
        <v>819</v>
      </c>
      <c r="E231" s="5">
        <v>1727</v>
      </c>
      <c r="F231" s="2" t="b">
        <v>1</v>
      </c>
      <c r="G231" s="5">
        <v>184299</v>
      </c>
      <c r="H231" s="2" t="s">
        <v>819</v>
      </c>
      <c r="I231" s="5">
        <v>13329</v>
      </c>
      <c r="J231" s="2" t="s">
        <v>833</v>
      </c>
      <c r="K231" s="5">
        <v>60167</v>
      </c>
      <c r="L231" s="4" t="s">
        <v>833</v>
      </c>
      <c r="M231" s="5">
        <v>36622</v>
      </c>
      <c r="N231" s="2" t="s">
        <v>823</v>
      </c>
      <c r="O231" s="5">
        <v>427</v>
      </c>
      <c r="P231" s="2" t="s">
        <v>818</v>
      </c>
      <c r="Q231" s="5">
        <v>1144</v>
      </c>
      <c r="T231" s="2" t="s">
        <v>815</v>
      </c>
    </row>
    <row r="232" spans="1:20" s="8" customFormat="1" ht="21" thickBot="1" x14ac:dyDescent="0.25">
      <c r="A232" s="104"/>
      <c r="B232" s="49" t="s">
        <v>339</v>
      </c>
      <c r="C232" s="62" t="s">
        <v>818</v>
      </c>
      <c r="D232" s="9" t="s">
        <v>819</v>
      </c>
      <c r="E232" s="7">
        <v>2459</v>
      </c>
      <c r="F232" s="6" t="b">
        <v>1</v>
      </c>
      <c r="G232" s="7">
        <v>6508</v>
      </c>
      <c r="H232" s="9" t="s">
        <v>819</v>
      </c>
      <c r="I232" s="7">
        <v>12335</v>
      </c>
      <c r="J232" s="65" t="s">
        <v>833</v>
      </c>
      <c r="K232" s="7">
        <v>900363</v>
      </c>
      <c r="L232" s="6" t="s">
        <v>838</v>
      </c>
      <c r="M232" s="7">
        <v>35096</v>
      </c>
      <c r="N232" s="9" t="s">
        <v>823</v>
      </c>
      <c r="O232" s="7">
        <v>1965</v>
      </c>
      <c r="P232" s="9" t="s">
        <v>818</v>
      </c>
      <c r="Q232" s="7">
        <v>1399</v>
      </c>
      <c r="S232" s="9"/>
      <c r="T232" s="9" t="s">
        <v>815</v>
      </c>
    </row>
    <row r="233" spans="1:20" x14ac:dyDescent="0.2">
      <c r="A233" s="103" t="s">
        <v>340</v>
      </c>
      <c r="B233" s="28" t="s">
        <v>357</v>
      </c>
      <c r="C233" s="22" t="s">
        <v>818</v>
      </c>
      <c r="D233" s="2" t="s">
        <v>837</v>
      </c>
      <c r="E233" s="5">
        <v>900442</v>
      </c>
      <c r="F233" s="2" t="b">
        <v>0</v>
      </c>
      <c r="G233" s="5">
        <v>3849</v>
      </c>
      <c r="H233" s="2" t="s">
        <v>818</v>
      </c>
      <c r="I233" s="5">
        <v>7915</v>
      </c>
      <c r="J233" s="2" t="s">
        <v>833</v>
      </c>
      <c r="K233" s="5">
        <v>46768</v>
      </c>
      <c r="L233" s="4" t="s">
        <v>833</v>
      </c>
      <c r="M233" s="5">
        <v>9818</v>
      </c>
      <c r="N233" s="2" t="s">
        <v>823</v>
      </c>
      <c r="O233" s="5">
        <v>717</v>
      </c>
      <c r="P233" s="2" t="s">
        <v>820</v>
      </c>
      <c r="Q233" s="5">
        <v>1912</v>
      </c>
      <c r="R233" s="2" t="s">
        <v>103</v>
      </c>
      <c r="T233" s="2"/>
    </row>
    <row r="234" spans="1:20" x14ac:dyDescent="0.2">
      <c r="A234" s="103"/>
      <c r="B234" s="28" t="s">
        <v>350</v>
      </c>
      <c r="C234" s="61" t="s">
        <v>818</v>
      </c>
      <c r="D234" s="2" t="s">
        <v>837</v>
      </c>
      <c r="E234" s="5">
        <v>901380</v>
      </c>
      <c r="F234" s="2" t="b">
        <v>0</v>
      </c>
      <c r="G234" s="5">
        <v>2935</v>
      </c>
      <c r="H234" s="2" t="s">
        <v>819</v>
      </c>
      <c r="I234" s="5">
        <v>11593</v>
      </c>
      <c r="J234" s="2" t="s">
        <v>833</v>
      </c>
      <c r="K234" s="5">
        <v>56188</v>
      </c>
      <c r="L234" s="4" t="s">
        <v>833</v>
      </c>
      <c r="M234" s="5">
        <v>8424</v>
      </c>
      <c r="N234" s="2" t="s">
        <v>823</v>
      </c>
      <c r="O234" s="5">
        <v>701</v>
      </c>
      <c r="P234" s="2" t="s">
        <v>820</v>
      </c>
      <c r="Q234" s="5">
        <v>1852</v>
      </c>
      <c r="R234" s="2" t="s">
        <v>103</v>
      </c>
      <c r="T234" s="2"/>
    </row>
    <row r="235" spans="1:20" x14ac:dyDescent="0.2">
      <c r="A235" s="103"/>
      <c r="B235" s="28" t="s">
        <v>341</v>
      </c>
      <c r="C235" s="22" t="s">
        <v>818</v>
      </c>
      <c r="D235" s="2" t="s">
        <v>837</v>
      </c>
      <c r="E235" s="5">
        <v>900923</v>
      </c>
      <c r="F235" s="2" t="b">
        <v>0</v>
      </c>
      <c r="G235" s="5">
        <v>4676</v>
      </c>
      <c r="H235" s="2" t="s">
        <v>818</v>
      </c>
      <c r="I235" s="5">
        <v>10150</v>
      </c>
      <c r="J235" s="2" t="s">
        <v>833</v>
      </c>
      <c r="K235" s="5">
        <v>78885</v>
      </c>
      <c r="L235" s="4" t="s">
        <v>833</v>
      </c>
      <c r="M235" s="5">
        <v>11185</v>
      </c>
      <c r="N235" s="2" t="s">
        <v>823</v>
      </c>
      <c r="O235" s="5">
        <v>759</v>
      </c>
      <c r="P235" s="2" t="s">
        <v>820</v>
      </c>
      <c r="Q235" s="5">
        <v>2649</v>
      </c>
      <c r="R235" s="2" t="s">
        <v>103</v>
      </c>
      <c r="T235" s="2"/>
    </row>
    <row r="236" spans="1:20" x14ac:dyDescent="0.2">
      <c r="A236" s="103"/>
      <c r="B236" s="28" t="s">
        <v>345</v>
      </c>
      <c r="C236" s="22" t="s">
        <v>818</v>
      </c>
      <c r="D236" s="2" t="s">
        <v>837</v>
      </c>
      <c r="E236" s="5">
        <v>900814</v>
      </c>
      <c r="F236" s="2" t="b">
        <v>0</v>
      </c>
      <c r="G236" s="5">
        <v>3772</v>
      </c>
      <c r="H236" s="2" t="s">
        <v>818</v>
      </c>
      <c r="I236" s="5">
        <v>10062</v>
      </c>
      <c r="J236" s="2" t="s">
        <v>833</v>
      </c>
      <c r="K236" s="5">
        <v>47711</v>
      </c>
      <c r="L236" s="4" t="s">
        <v>833</v>
      </c>
      <c r="M236" s="5">
        <v>10043</v>
      </c>
      <c r="N236" s="2" t="s">
        <v>823</v>
      </c>
      <c r="O236" s="5">
        <v>760</v>
      </c>
      <c r="P236" s="2" t="s">
        <v>820</v>
      </c>
      <c r="Q236" s="5">
        <v>2278</v>
      </c>
      <c r="R236" s="2" t="s">
        <v>103</v>
      </c>
      <c r="T236" s="2"/>
    </row>
    <row r="237" spans="1:20" x14ac:dyDescent="0.2">
      <c r="A237" s="103"/>
      <c r="B237" s="28" t="s">
        <v>346</v>
      </c>
      <c r="C237" s="22" t="s">
        <v>818</v>
      </c>
      <c r="D237" s="2" t="s">
        <v>837</v>
      </c>
      <c r="E237" s="5">
        <v>900530</v>
      </c>
      <c r="F237" s="2" t="b">
        <v>0</v>
      </c>
      <c r="G237" s="5">
        <v>3912</v>
      </c>
      <c r="H237" s="2" t="s">
        <v>818</v>
      </c>
      <c r="I237" s="5">
        <v>10748</v>
      </c>
      <c r="J237" s="2" t="s">
        <v>833</v>
      </c>
      <c r="K237" s="5">
        <v>74992</v>
      </c>
      <c r="L237" s="4" t="s">
        <v>833</v>
      </c>
      <c r="M237" s="5">
        <v>8861</v>
      </c>
      <c r="N237" s="2" t="s">
        <v>823</v>
      </c>
      <c r="O237" s="5">
        <v>766</v>
      </c>
      <c r="P237" s="2" t="s">
        <v>820</v>
      </c>
      <c r="Q237" s="5">
        <v>1639</v>
      </c>
      <c r="R237" s="2" t="s">
        <v>103</v>
      </c>
      <c r="T237" s="2"/>
    </row>
    <row r="238" spans="1:20" x14ac:dyDescent="0.2">
      <c r="A238" s="103"/>
      <c r="B238" s="48" t="s">
        <v>348</v>
      </c>
      <c r="C238" s="22" t="s">
        <v>818</v>
      </c>
      <c r="D238" s="2" t="s">
        <v>819</v>
      </c>
      <c r="E238" s="5">
        <v>1574</v>
      </c>
      <c r="F238" s="2" t="b">
        <v>0</v>
      </c>
      <c r="G238" s="5">
        <v>5156</v>
      </c>
      <c r="H238" s="2" t="s">
        <v>818</v>
      </c>
      <c r="I238" s="5">
        <v>10655</v>
      </c>
      <c r="J238" s="2" t="s">
        <v>833</v>
      </c>
      <c r="K238" s="5">
        <v>3055</v>
      </c>
      <c r="L238" s="4" t="s">
        <v>833</v>
      </c>
      <c r="M238" s="5">
        <v>16155</v>
      </c>
      <c r="N238" s="64" t="s">
        <v>822</v>
      </c>
      <c r="O238" s="5">
        <v>707</v>
      </c>
      <c r="P238" s="2" t="s">
        <v>820</v>
      </c>
      <c r="Q238" s="5">
        <v>2419</v>
      </c>
      <c r="R238" s="2" t="s">
        <v>103</v>
      </c>
      <c r="T238" s="2" t="s">
        <v>836</v>
      </c>
    </row>
    <row r="239" spans="1:20" x14ac:dyDescent="0.2">
      <c r="A239" s="103"/>
      <c r="B239" s="28" t="s">
        <v>352</v>
      </c>
      <c r="C239" s="22" t="s">
        <v>818</v>
      </c>
      <c r="D239" s="2" t="s">
        <v>837</v>
      </c>
      <c r="E239" s="5">
        <v>900479</v>
      </c>
      <c r="F239" s="2" t="b">
        <v>0</v>
      </c>
      <c r="G239" s="5">
        <v>2209</v>
      </c>
      <c r="H239" s="2" t="s">
        <v>818</v>
      </c>
      <c r="I239" s="5">
        <v>10113</v>
      </c>
      <c r="J239" s="2" t="s">
        <v>833</v>
      </c>
      <c r="K239" s="5">
        <v>83263</v>
      </c>
      <c r="L239" s="4" t="s">
        <v>833</v>
      </c>
      <c r="M239" s="5">
        <v>11562</v>
      </c>
      <c r="N239" s="2" t="s">
        <v>823</v>
      </c>
      <c r="O239" s="5">
        <v>589</v>
      </c>
      <c r="P239" s="2" t="s">
        <v>838</v>
      </c>
      <c r="Q239" s="5">
        <v>1669</v>
      </c>
      <c r="R239" s="2" t="s">
        <v>103</v>
      </c>
      <c r="T239" s="2"/>
    </row>
    <row r="240" spans="1:20" x14ac:dyDescent="0.2">
      <c r="A240" s="103"/>
      <c r="B240" s="48" t="s">
        <v>356</v>
      </c>
      <c r="C240" s="22" t="s">
        <v>818</v>
      </c>
      <c r="D240" s="2" t="s">
        <v>819</v>
      </c>
      <c r="E240" s="5">
        <v>1549</v>
      </c>
      <c r="F240" s="2" t="b">
        <v>0</v>
      </c>
      <c r="G240" s="5">
        <v>3668</v>
      </c>
      <c r="H240" s="2" t="s">
        <v>818</v>
      </c>
      <c r="I240" s="5">
        <v>26647</v>
      </c>
      <c r="J240" s="64" t="s">
        <v>833</v>
      </c>
      <c r="K240" s="5">
        <v>900287</v>
      </c>
      <c r="L240" s="4" t="s">
        <v>833</v>
      </c>
      <c r="M240" s="5">
        <v>9635</v>
      </c>
      <c r="N240" s="2" t="s">
        <v>823</v>
      </c>
      <c r="O240" s="5">
        <v>658</v>
      </c>
      <c r="P240" s="2" t="s">
        <v>838</v>
      </c>
      <c r="Q240" s="5">
        <v>776</v>
      </c>
      <c r="R240" s="2" t="s">
        <v>103</v>
      </c>
      <c r="T240" s="2" t="s">
        <v>836</v>
      </c>
    </row>
    <row r="241" spans="1:33" x14ac:dyDescent="0.2">
      <c r="A241" s="103"/>
      <c r="B241" s="28" t="s">
        <v>349</v>
      </c>
      <c r="C241" s="22" t="s">
        <v>818</v>
      </c>
      <c r="D241" s="2" t="s">
        <v>818</v>
      </c>
      <c r="E241" s="5">
        <v>586</v>
      </c>
      <c r="F241" s="2" t="b">
        <v>1</v>
      </c>
      <c r="G241" s="5">
        <v>91893</v>
      </c>
      <c r="H241" s="2" t="s">
        <v>818</v>
      </c>
      <c r="I241" s="5">
        <v>7632</v>
      </c>
      <c r="J241" s="2" t="b">
        <v>1</v>
      </c>
      <c r="K241" s="5">
        <v>3394</v>
      </c>
      <c r="L241" s="4" t="s">
        <v>833</v>
      </c>
      <c r="M241" s="5">
        <v>6302</v>
      </c>
      <c r="N241" s="2" t="s">
        <v>876</v>
      </c>
      <c r="O241" s="5">
        <v>662</v>
      </c>
      <c r="P241" s="2" t="s">
        <v>818</v>
      </c>
      <c r="Q241" s="5">
        <v>2301</v>
      </c>
      <c r="R241" s="2" t="s">
        <v>103</v>
      </c>
    </row>
    <row r="242" spans="1:33" x14ac:dyDescent="0.2">
      <c r="A242" s="103"/>
      <c r="B242" s="44" t="s">
        <v>353</v>
      </c>
      <c r="C242" s="22" t="s">
        <v>818</v>
      </c>
      <c r="D242" s="2" t="s">
        <v>819</v>
      </c>
      <c r="E242" s="5">
        <v>1565</v>
      </c>
      <c r="F242" s="2" t="b">
        <v>1</v>
      </c>
      <c r="G242" s="5">
        <v>2589</v>
      </c>
      <c r="H242" s="2" t="s">
        <v>818</v>
      </c>
      <c r="I242" s="5">
        <v>6618</v>
      </c>
      <c r="J242" s="2" t="b">
        <v>1</v>
      </c>
      <c r="K242" s="5">
        <v>3748</v>
      </c>
      <c r="L242" s="4" t="s">
        <v>838</v>
      </c>
      <c r="M242" s="5">
        <v>4475</v>
      </c>
      <c r="N242" s="2" t="s">
        <v>876</v>
      </c>
      <c r="O242" s="5">
        <v>459</v>
      </c>
      <c r="P242" s="2" t="s">
        <v>818</v>
      </c>
      <c r="Q242" s="5">
        <v>1534</v>
      </c>
      <c r="R242" s="2" t="s">
        <v>813</v>
      </c>
    </row>
    <row r="243" spans="1:33" x14ac:dyDescent="0.2">
      <c r="A243" s="103"/>
      <c r="B243" s="48" t="s">
        <v>358</v>
      </c>
      <c r="C243" s="22" t="s">
        <v>818</v>
      </c>
      <c r="D243" s="2" t="s">
        <v>819</v>
      </c>
      <c r="E243" s="5">
        <v>1703</v>
      </c>
      <c r="F243" s="2" t="b">
        <v>0</v>
      </c>
      <c r="G243" s="5">
        <v>3625</v>
      </c>
      <c r="H243" s="2" t="s">
        <v>818</v>
      </c>
      <c r="I243" s="5">
        <v>11340</v>
      </c>
      <c r="J243" s="64" t="s">
        <v>833</v>
      </c>
      <c r="K243" s="5">
        <v>900291</v>
      </c>
      <c r="L243" s="4" t="s">
        <v>833</v>
      </c>
      <c r="M243" s="5">
        <v>10224</v>
      </c>
      <c r="N243" s="2" t="s">
        <v>823</v>
      </c>
      <c r="O243" s="5">
        <v>721</v>
      </c>
      <c r="P243" s="2" t="s">
        <v>838</v>
      </c>
      <c r="Q243" s="5">
        <v>827</v>
      </c>
      <c r="R243" s="2" t="s">
        <v>103</v>
      </c>
      <c r="T243" s="2" t="s">
        <v>836</v>
      </c>
    </row>
    <row r="244" spans="1:33" x14ac:dyDescent="0.2">
      <c r="A244" s="103"/>
      <c r="B244" s="28" t="s">
        <v>351</v>
      </c>
      <c r="C244" s="22" t="s">
        <v>818</v>
      </c>
      <c r="D244" s="2" t="s">
        <v>837</v>
      </c>
      <c r="E244" s="5">
        <v>900694</v>
      </c>
      <c r="F244" s="2" t="b">
        <v>0</v>
      </c>
      <c r="G244" s="5">
        <v>2978</v>
      </c>
      <c r="H244" s="2" t="s">
        <v>818</v>
      </c>
      <c r="I244" s="5">
        <v>10658</v>
      </c>
      <c r="J244" s="2" t="s">
        <v>833</v>
      </c>
      <c r="K244" s="5">
        <v>47118</v>
      </c>
      <c r="L244" s="4" t="s">
        <v>833</v>
      </c>
      <c r="M244" s="5">
        <v>8390</v>
      </c>
      <c r="N244" s="2" t="s">
        <v>823</v>
      </c>
      <c r="O244" s="5">
        <v>668</v>
      </c>
      <c r="P244" s="2" t="s">
        <v>820</v>
      </c>
      <c r="Q244" s="5">
        <v>1871</v>
      </c>
      <c r="R244" s="2" t="s">
        <v>103</v>
      </c>
      <c r="T244" s="2"/>
    </row>
    <row r="245" spans="1:33" x14ac:dyDescent="0.2">
      <c r="A245" s="103"/>
      <c r="B245" s="28" t="s">
        <v>355</v>
      </c>
      <c r="C245" s="22" t="s">
        <v>818</v>
      </c>
      <c r="D245" s="2" t="s">
        <v>837</v>
      </c>
      <c r="E245" s="5">
        <v>901163</v>
      </c>
      <c r="F245" s="2" t="b">
        <v>0</v>
      </c>
      <c r="G245" s="5">
        <v>2958</v>
      </c>
      <c r="H245" s="2" t="s">
        <v>818</v>
      </c>
      <c r="I245" s="5">
        <v>10650</v>
      </c>
      <c r="J245" s="2" t="s">
        <v>833</v>
      </c>
      <c r="K245" s="5">
        <v>47238</v>
      </c>
      <c r="L245" s="4" t="s">
        <v>833</v>
      </c>
      <c r="M245" s="5">
        <v>8505</v>
      </c>
      <c r="N245" s="2" t="s">
        <v>823</v>
      </c>
      <c r="O245" s="5">
        <v>841</v>
      </c>
      <c r="P245" s="2" t="s">
        <v>820</v>
      </c>
      <c r="Q245" s="5">
        <v>1862</v>
      </c>
      <c r="R245" s="2" t="s">
        <v>103</v>
      </c>
      <c r="T245" s="2"/>
    </row>
    <row r="246" spans="1:33" x14ac:dyDescent="0.2">
      <c r="A246" s="103"/>
      <c r="B246" s="28" t="s">
        <v>347</v>
      </c>
      <c r="C246" s="22" t="s">
        <v>818</v>
      </c>
      <c r="D246" s="2" t="s">
        <v>837</v>
      </c>
      <c r="E246" s="5">
        <v>901243</v>
      </c>
      <c r="F246" s="2" t="b">
        <v>0</v>
      </c>
      <c r="G246" s="5">
        <v>3755</v>
      </c>
      <c r="H246" s="2" t="s">
        <v>818</v>
      </c>
      <c r="I246" s="5">
        <v>9801</v>
      </c>
      <c r="J246" s="2" t="s">
        <v>833</v>
      </c>
      <c r="K246" s="5">
        <v>84838</v>
      </c>
      <c r="L246" s="4" t="s">
        <v>833</v>
      </c>
      <c r="M246" s="5">
        <v>8687</v>
      </c>
      <c r="N246" s="2" t="s">
        <v>823</v>
      </c>
      <c r="O246" s="5">
        <v>667</v>
      </c>
      <c r="P246" s="2" t="s">
        <v>838</v>
      </c>
      <c r="Q246" s="5">
        <v>887</v>
      </c>
      <c r="R246" s="2" t="s">
        <v>103</v>
      </c>
      <c r="T246" s="2"/>
    </row>
    <row r="247" spans="1:33" x14ac:dyDescent="0.2">
      <c r="A247" s="103"/>
      <c r="B247" s="48" t="s">
        <v>343</v>
      </c>
      <c r="C247" s="22" t="s">
        <v>818</v>
      </c>
      <c r="D247" s="2" t="s">
        <v>819</v>
      </c>
      <c r="E247" s="5">
        <v>1569</v>
      </c>
      <c r="F247" s="2" t="b">
        <v>0</v>
      </c>
      <c r="G247" s="5">
        <v>2831</v>
      </c>
      <c r="H247" s="2" t="s">
        <v>818</v>
      </c>
      <c r="I247" s="5">
        <v>10675</v>
      </c>
      <c r="J247" s="64" t="s">
        <v>833</v>
      </c>
      <c r="K247" s="5">
        <v>900280</v>
      </c>
      <c r="L247" s="4" t="s">
        <v>833</v>
      </c>
      <c r="M247" s="5">
        <v>9483</v>
      </c>
      <c r="N247" s="2" t="s">
        <v>823</v>
      </c>
      <c r="O247" s="5">
        <v>654</v>
      </c>
      <c r="P247" s="2" t="s">
        <v>838</v>
      </c>
      <c r="Q247" s="5">
        <v>1096</v>
      </c>
      <c r="R247" s="2" t="s">
        <v>103</v>
      </c>
      <c r="T247" s="2" t="s">
        <v>836</v>
      </c>
    </row>
    <row r="248" spans="1:33" x14ac:dyDescent="0.2">
      <c r="A248" s="103"/>
      <c r="B248" s="28" t="s">
        <v>344</v>
      </c>
      <c r="C248" s="22" t="s">
        <v>818</v>
      </c>
      <c r="D248" s="2" t="s">
        <v>837</v>
      </c>
      <c r="E248" s="5">
        <v>901257</v>
      </c>
      <c r="F248" s="2" t="b">
        <v>1</v>
      </c>
      <c r="G248" s="5">
        <v>182570</v>
      </c>
      <c r="H248" s="2" t="s">
        <v>818</v>
      </c>
      <c r="I248" s="5">
        <v>9096</v>
      </c>
      <c r="J248" s="2" t="s">
        <v>833</v>
      </c>
      <c r="K248" s="5">
        <v>80618</v>
      </c>
      <c r="L248" s="4" t="s">
        <v>833</v>
      </c>
      <c r="M248" s="5">
        <v>8631</v>
      </c>
      <c r="N248" s="2" t="s">
        <v>823</v>
      </c>
      <c r="O248" s="5">
        <v>669</v>
      </c>
      <c r="P248" s="2" t="s">
        <v>838</v>
      </c>
      <c r="Q248" s="5">
        <v>1166</v>
      </c>
      <c r="R248" s="2" t="s">
        <v>103</v>
      </c>
    </row>
    <row r="249" spans="1:33" x14ac:dyDescent="0.2">
      <c r="A249" s="103"/>
      <c r="B249" s="44" t="s">
        <v>342</v>
      </c>
      <c r="C249" s="22" t="s">
        <v>818</v>
      </c>
      <c r="D249" s="2" t="s">
        <v>819</v>
      </c>
      <c r="E249" s="5">
        <v>1476</v>
      </c>
      <c r="F249" s="2" t="b">
        <v>1</v>
      </c>
      <c r="G249" s="5">
        <v>2608</v>
      </c>
      <c r="H249" s="2" t="s">
        <v>818</v>
      </c>
      <c r="I249" s="5">
        <v>9359</v>
      </c>
      <c r="J249" s="2" t="s">
        <v>833</v>
      </c>
      <c r="K249" s="5">
        <v>648790</v>
      </c>
      <c r="L249" s="4" t="s">
        <v>833</v>
      </c>
      <c r="M249" s="5">
        <v>5175</v>
      </c>
      <c r="N249" s="2" t="s">
        <v>876</v>
      </c>
      <c r="O249" s="5">
        <v>484</v>
      </c>
      <c r="P249" s="2" t="s">
        <v>818</v>
      </c>
      <c r="Q249" s="5">
        <v>1221</v>
      </c>
      <c r="R249" s="2" t="s">
        <v>813</v>
      </c>
    </row>
    <row r="250" spans="1:33" s="8" customFormat="1" ht="21" thickBot="1" x14ac:dyDescent="0.25">
      <c r="A250" s="104"/>
      <c r="B250" s="49" t="s">
        <v>354</v>
      </c>
      <c r="C250" s="23" t="s">
        <v>818</v>
      </c>
      <c r="D250" s="9" t="s">
        <v>819</v>
      </c>
      <c r="E250" s="7">
        <v>1561</v>
      </c>
      <c r="F250" s="6" t="b">
        <v>1</v>
      </c>
      <c r="G250" s="7">
        <v>183213</v>
      </c>
      <c r="H250" s="9" t="s">
        <v>818</v>
      </c>
      <c r="I250" s="7">
        <v>9751</v>
      </c>
      <c r="J250" s="9" t="s">
        <v>833</v>
      </c>
      <c r="K250" s="7">
        <v>3016</v>
      </c>
      <c r="L250" s="6" t="s">
        <v>833</v>
      </c>
      <c r="M250" s="7">
        <v>8907</v>
      </c>
      <c r="N250" s="9" t="s">
        <v>823</v>
      </c>
      <c r="O250" s="7">
        <v>654</v>
      </c>
      <c r="P250" s="9" t="s">
        <v>838</v>
      </c>
      <c r="Q250" s="7">
        <v>875</v>
      </c>
      <c r="R250" s="9" t="s">
        <v>103</v>
      </c>
      <c r="S250" s="9"/>
      <c r="T250" s="9" t="s">
        <v>836</v>
      </c>
      <c r="AF250" s="9"/>
      <c r="AG250" s="9"/>
    </row>
    <row r="251" spans="1:33" x14ac:dyDescent="0.2">
      <c r="A251" s="103" t="s">
        <v>630</v>
      </c>
      <c r="B251" s="28" t="s">
        <v>629</v>
      </c>
      <c r="C251" s="22" t="s">
        <v>818</v>
      </c>
      <c r="D251" s="2" t="s">
        <v>818</v>
      </c>
      <c r="E251" s="5">
        <v>2216</v>
      </c>
      <c r="F251" s="2" t="b">
        <v>1</v>
      </c>
      <c r="G251" s="5">
        <v>182927</v>
      </c>
      <c r="H251" s="2" t="s">
        <v>818</v>
      </c>
      <c r="I251" s="5">
        <v>6359</v>
      </c>
      <c r="J251" s="2" t="b">
        <v>1</v>
      </c>
      <c r="K251" s="5">
        <v>2783</v>
      </c>
      <c r="L251" s="4" t="b">
        <v>1</v>
      </c>
      <c r="M251" s="5">
        <v>7072</v>
      </c>
      <c r="N251" s="2" t="s">
        <v>823</v>
      </c>
      <c r="O251" s="5">
        <v>491</v>
      </c>
      <c r="P251" s="2" t="s">
        <v>818</v>
      </c>
      <c r="Q251" s="5">
        <v>4136</v>
      </c>
      <c r="R251" s="2"/>
      <c r="T251" s="2"/>
    </row>
    <row r="252" spans="1:33" x14ac:dyDescent="0.2">
      <c r="A252" s="103"/>
      <c r="B252" s="28" t="s">
        <v>628</v>
      </c>
      <c r="C252" s="22" t="s">
        <v>818</v>
      </c>
      <c r="D252" s="2" t="s">
        <v>837</v>
      </c>
      <c r="E252" s="5">
        <v>900764</v>
      </c>
      <c r="F252" s="2" t="b">
        <v>1</v>
      </c>
      <c r="G252" s="5">
        <v>182293</v>
      </c>
      <c r="H252" s="2" t="s">
        <v>838</v>
      </c>
      <c r="I252" s="5">
        <v>12214</v>
      </c>
      <c r="J252" s="2" t="b">
        <v>1</v>
      </c>
      <c r="K252" s="5">
        <v>7943</v>
      </c>
      <c r="L252" s="4" t="s">
        <v>833</v>
      </c>
      <c r="M252" s="5">
        <v>901012</v>
      </c>
      <c r="N252" s="2" t="s">
        <v>823</v>
      </c>
      <c r="O252" s="5">
        <v>5377</v>
      </c>
      <c r="P252" s="2" t="s">
        <v>837</v>
      </c>
      <c r="Q252" s="5">
        <v>910094</v>
      </c>
      <c r="R252" s="2"/>
      <c r="T252" s="2"/>
    </row>
    <row r="253" spans="1:33" x14ac:dyDescent="0.2">
      <c r="A253" s="103"/>
      <c r="B253" s="28" t="s">
        <v>627</v>
      </c>
      <c r="C253" s="22" t="s">
        <v>818</v>
      </c>
      <c r="D253" s="2" t="s">
        <v>818</v>
      </c>
      <c r="E253" s="5">
        <v>651</v>
      </c>
      <c r="F253" s="2" t="b">
        <v>0</v>
      </c>
      <c r="G253" s="5">
        <v>2715</v>
      </c>
      <c r="H253" s="2" t="s">
        <v>818</v>
      </c>
      <c r="I253" s="5">
        <v>13290</v>
      </c>
      <c r="J253" s="2" t="b">
        <v>1</v>
      </c>
      <c r="K253" s="5">
        <v>2674</v>
      </c>
      <c r="L253" s="4" t="b">
        <v>1</v>
      </c>
      <c r="M253" s="5">
        <v>6063</v>
      </c>
      <c r="N253" s="2" t="s">
        <v>823</v>
      </c>
      <c r="O253" s="5">
        <v>393</v>
      </c>
      <c r="P253" s="2" t="s">
        <v>818</v>
      </c>
      <c r="Q253" s="5">
        <v>2738</v>
      </c>
      <c r="R253" s="2"/>
      <c r="T253" s="2"/>
    </row>
    <row r="254" spans="1:33" x14ac:dyDescent="0.2">
      <c r="A254" s="103"/>
      <c r="B254" s="28" t="s">
        <v>626</v>
      </c>
      <c r="C254" s="22" t="s">
        <v>818</v>
      </c>
      <c r="D254" s="2" t="s">
        <v>837</v>
      </c>
      <c r="E254" s="5">
        <v>900391</v>
      </c>
      <c r="F254" s="2" t="b">
        <v>1</v>
      </c>
      <c r="G254" s="5">
        <v>186705</v>
      </c>
      <c r="H254" s="2" t="s">
        <v>838</v>
      </c>
      <c r="I254" s="5">
        <v>85009</v>
      </c>
      <c r="J254" s="2" t="b">
        <v>1</v>
      </c>
      <c r="K254" s="5">
        <v>4474</v>
      </c>
      <c r="L254" s="4" t="b">
        <v>1</v>
      </c>
      <c r="M254" s="5">
        <v>11531</v>
      </c>
      <c r="N254" s="2" t="s">
        <v>823</v>
      </c>
      <c r="O254" s="5">
        <v>627</v>
      </c>
      <c r="P254" s="2" t="s">
        <v>837</v>
      </c>
      <c r="Q254" s="5">
        <v>910147</v>
      </c>
      <c r="R254" s="2"/>
      <c r="T254" s="2"/>
    </row>
    <row r="255" spans="1:33" x14ac:dyDescent="0.2">
      <c r="A255" s="103"/>
      <c r="B255" s="28" t="s">
        <v>625</v>
      </c>
      <c r="C255" s="22" t="s">
        <v>818</v>
      </c>
      <c r="D255" s="2" t="s">
        <v>818</v>
      </c>
      <c r="E255" s="5">
        <v>777</v>
      </c>
      <c r="F255" s="2" t="b">
        <v>1</v>
      </c>
      <c r="G255" s="5">
        <v>190631</v>
      </c>
      <c r="H255" s="2" t="s">
        <v>818</v>
      </c>
      <c r="I255" s="5">
        <v>27217</v>
      </c>
      <c r="J255" s="2" t="b">
        <v>1</v>
      </c>
      <c r="K255" s="5">
        <v>4089</v>
      </c>
      <c r="L255" s="4" t="s">
        <v>833</v>
      </c>
      <c r="M255" s="5">
        <v>901097</v>
      </c>
      <c r="N255" s="2" t="s">
        <v>823</v>
      </c>
      <c r="O255" s="5">
        <v>667</v>
      </c>
      <c r="P255" s="2" t="s">
        <v>837</v>
      </c>
      <c r="Q255" s="5">
        <v>910077</v>
      </c>
      <c r="R255" s="2"/>
      <c r="T255" s="2"/>
    </row>
    <row r="256" spans="1:33" x14ac:dyDescent="0.2">
      <c r="A256" s="103"/>
      <c r="B256" s="28" t="s">
        <v>624</v>
      </c>
      <c r="C256" s="22" t="s">
        <v>818</v>
      </c>
      <c r="D256" s="2" t="s">
        <v>818</v>
      </c>
      <c r="E256" s="5">
        <v>31303</v>
      </c>
      <c r="F256" s="2" t="b">
        <v>1</v>
      </c>
      <c r="G256" s="5">
        <v>188950</v>
      </c>
      <c r="H256" s="2" t="s">
        <v>818</v>
      </c>
      <c r="I256" s="5">
        <v>11428</v>
      </c>
      <c r="J256" s="2" t="b">
        <v>1</v>
      </c>
      <c r="K256" s="5">
        <v>6839</v>
      </c>
      <c r="L256" s="4" t="b">
        <v>1</v>
      </c>
      <c r="M256" s="5">
        <v>18132</v>
      </c>
      <c r="N256" s="2" t="s">
        <v>823</v>
      </c>
      <c r="O256" s="5">
        <v>457</v>
      </c>
      <c r="P256" s="2" t="s">
        <v>818</v>
      </c>
      <c r="Q256" s="5">
        <v>13010</v>
      </c>
      <c r="R256" s="2"/>
      <c r="T256" s="2"/>
    </row>
    <row r="257" spans="1:20" x14ac:dyDescent="0.2">
      <c r="A257" s="103"/>
      <c r="B257" s="28" t="s">
        <v>623</v>
      </c>
      <c r="C257" s="22" t="s">
        <v>818</v>
      </c>
      <c r="D257" s="2" t="s">
        <v>837</v>
      </c>
      <c r="E257" s="5">
        <v>900757</v>
      </c>
      <c r="F257" s="2" t="b">
        <v>1</v>
      </c>
      <c r="G257" s="5">
        <v>190748</v>
      </c>
      <c r="H257" s="64" t="s">
        <v>837</v>
      </c>
      <c r="I257" s="5">
        <v>910040</v>
      </c>
      <c r="J257" s="2" t="b">
        <v>1</v>
      </c>
      <c r="K257" s="5">
        <v>4061</v>
      </c>
      <c r="L257" s="4" t="b">
        <v>1</v>
      </c>
      <c r="M257" s="5">
        <v>8917</v>
      </c>
      <c r="N257" s="2" t="s">
        <v>823</v>
      </c>
      <c r="O257" s="5">
        <v>578</v>
      </c>
      <c r="P257" s="2" t="s">
        <v>837</v>
      </c>
      <c r="Q257" s="5">
        <v>910050</v>
      </c>
      <c r="R257" s="2"/>
      <c r="T257" s="2"/>
    </row>
    <row r="258" spans="1:20" x14ac:dyDescent="0.2">
      <c r="A258" s="103"/>
      <c r="B258" s="28" t="s">
        <v>622</v>
      </c>
      <c r="C258" s="22" t="s">
        <v>818</v>
      </c>
      <c r="D258" s="2" t="s">
        <v>818</v>
      </c>
      <c r="E258" s="5">
        <v>4549</v>
      </c>
      <c r="F258" s="2" t="b">
        <v>1</v>
      </c>
      <c r="G258" s="5">
        <v>184867</v>
      </c>
      <c r="H258" s="2" t="s">
        <v>818</v>
      </c>
      <c r="I258" s="5">
        <v>8015</v>
      </c>
      <c r="J258" s="2" t="b">
        <v>1</v>
      </c>
      <c r="K258" s="5">
        <v>3433</v>
      </c>
      <c r="L258" s="4" t="b">
        <v>1</v>
      </c>
      <c r="M258" s="5">
        <v>6977</v>
      </c>
      <c r="N258" s="2" t="s">
        <v>876</v>
      </c>
      <c r="O258" s="5">
        <v>328</v>
      </c>
      <c r="P258" s="2" t="s">
        <v>818</v>
      </c>
      <c r="Q258" s="5">
        <v>8503</v>
      </c>
      <c r="R258" s="2"/>
      <c r="T258" s="2"/>
    </row>
    <row r="259" spans="1:20" x14ac:dyDescent="0.2">
      <c r="A259" s="103"/>
      <c r="B259" s="28" t="s">
        <v>621</v>
      </c>
      <c r="C259" s="22" t="s">
        <v>818</v>
      </c>
      <c r="D259" s="2" t="s">
        <v>818</v>
      </c>
      <c r="E259" s="5">
        <v>2709</v>
      </c>
      <c r="F259" s="2" t="b">
        <v>1</v>
      </c>
      <c r="G259" s="5">
        <v>182887</v>
      </c>
      <c r="H259" s="2" t="s">
        <v>818</v>
      </c>
      <c r="I259" s="5">
        <v>5318</v>
      </c>
      <c r="J259" s="64" t="s">
        <v>833</v>
      </c>
      <c r="K259" s="5">
        <v>900361</v>
      </c>
      <c r="L259" s="4" t="b">
        <v>1</v>
      </c>
      <c r="M259" s="5">
        <v>6262</v>
      </c>
      <c r="N259" s="2" t="s">
        <v>876</v>
      </c>
      <c r="O259" s="5">
        <v>439</v>
      </c>
      <c r="P259" s="2" t="s">
        <v>818</v>
      </c>
      <c r="Q259" s="5">
        <v>16927</v>
      </c>
      <c r="R259" s="2"/>
      <c r="T259" s="2"/>
    </row>
    <row r="260" spans="1:20" x14ac:dyDescent="0.2">
      <c r="A260" s="103"/>
      <c r="B260" s="28" t="s">
        <v>620</v>
      </c>
      <c r="C260" s="22" t="s">
        <v>818</v>
      </c>
      <c r="D260" s="2" t="s">
        <v>837</v>
      </c>
      <c r="E260" s="5">
        <v>901106</v>
      </c>
      <c r="F260" s="2" t="s">
        <v>883</v>
      </c>
      <c r="G260" s="5">
        <v>302222</v>
      </c>
      <c r="H260" s="2" t="s">
        <v>818</v>
      </c>
      <c r="I260" s="5">
        <v>9465</v>
      </c>
      <c r="J260" s="2" t="b">
        <v>1</v>
      </c>
      <c r="K260" s="5">
        <v>6654</v>
      </c>
      <c r="L260" s="4" t="b">
        <v>1</v>
      </c>
      <c r="M260" s="5">
        <v>12590</v>
      </c>
      <c r="N260" s="2" t="s">
        <v>823</v>
      </c>
      <c r="O260" s="5">
        <v>827</v>
      </c>
      <c r="P260" s="2" t="s">
        <v>837</v>
      </c>
      <c r="Q260" s="5">
        <v>910082</v>
      </c>
      <c r="R260" s="2"/>
      <c r="T260" s="2"/>
    </row>
    <row r="261" spans="1:20" x14ac:dyDescent="0.2">
      <c r="A261" s="103"/>
      <c r="B261" s="28" t="s">
        <v>619</v>
      </c>
      <c r="C261" s="22" t="s">
        <v>818</v>
      </c>
      <c r="D261" s="2" t="s">
        <v>818</v>
      </c>
      <c r="E261" s="5">
        <v>2461</v>
      </c>
      <c r="F261" s="2" t="b">
        <v>1</v>
      </c>
      <c r="G261" s="5">
        <v>184504</v>
      </c>
      <c r="H261" s="2" t="s">
        <v>818</v>
      </c>
      <c r="I261" s="5">
        <v>44812</v>
      </c>
      <c r="J261" s="2" t="b">
        <v>1</v>
      </c>
      <c r="K261" s="5">
        <v>3533</v>
      </c>
      <c r="L261" s="4" t="b">
        <v>1</v>
      </c>
      <c r="M261" s="5">
        <v>7717</v>
      </c>
      <c r="N261" s="2" t="s">
        <v>876</v>
      </c>
      <c r="O261" s="5">
        <v>351</v>
      </c>
      <c r="P261" s="2" t="s">
        <v>818</v>
      </c>
      <c r="Q261" s="5">
        <v>2848</v>
      </c>
      <c r="R261" s="2"/>
      <c r="T261" s="2"/>
    </row>
    <row r="262" spans="1:20" x14ac:dyDescent="0.2">
      <c r="A262" s="103"/>
      <c r="B262" s="28" t="s">
        <v>618</v>
      </c>
      <c r="C262" s="22" t="s">
        <v>818</v>
      </c>
      <c r="D262" s="2" t="s">
        <v>837</v>
      </c>
      <c r="E262" s="5">
        <v>901296</v>
      </c>
      <c r="F262" s="2" t="b">
        <v>1</v>
      </c>
      <c r="G262" s="5">
        <v>191053</v>
      </c>
      <c r="H262" s="2" t="s">
        <v>818</v>
      </c>
      <c r="I262" s="5">
        <v>34069</v>
      </c>
      <c r="J262" s="2" t="b">
        <v>1</v>
      </c>
      <c r="K262" s="5">
        <v>5482</v>
      </c>
      <c r="L262" s="4" t="s">
        <v>833</v>
      </c>
      <c r="M262" s="5">
        <v>905181</v>
      </c>
      <c r="N262" s="2" t="s">
        <v>823</v>
      </c>
      <c r="O262" s="5">
        <v>1964</v>
      </c>
      <c r="P262" s="2" t="s">
        <v>837</v>
      </c>
      <c r="Q262" s="5">
        <v>910096</v>
      </c>
      <c r="R262" s="2"/>
      <c r="T262" s="2"/>
    </row>
    <row r="263" spans="1:20" x14ac:dyDescent="0.2">
      <c r="A263" s="103"/>
      <c r="B263" s="28" t="s">
        <v>617</v>
      </c>
      <c r="C263" s="22" t="s">
        <v>818</v>
      </c>
      <c r="D263" s="2" t="s">
        <v>818</v>
      </c>
      <c r="E263" s="5">
        <v>3309</v>
      </c>
      <c r="F263" s="2" t="b">
        <v>0</v>
      </c>
      <c r="G263" s="5">
        <v>19022</v>
      </c>
      <c r="H263" s="2" t="s">
        <v>818</v>
      </c>
      <c r="I263" s="5">
        <v>9659</v>
      </c>
      <c r="J263" s="2" t="b">
        <v>1</v>
      </c>
      <c r="K263" s="5">
        <v>4158</v>
      </c>
      <c r="L263" s="4" t="b">
        <v>1</v>
      </c>
      <c r="M263" s="5">
        <v>7578</v>
      </c>
      <c r="N263" s="2" t="s">
        <v>823</v>
      </c>
      <c r="O263" s="5">
        <v>360</v>
      </c>
      <c r="P263" s="2" t="s">
        <v>818</v>
      </c>
      <c r="Q263" s="5">
        <v>6920</v>
      </c>
      <c r="R263" s="2"/>
      <c r="T263" s="2"/>
    </row>
    <row r="264" spans="1:20" x14ac:dyDescent="0.2">
      <c r="A264" s="103"/>
      <c r="B264" s="28" t="s">
        <v>616</v>
      </c>
      <c r="C264" s="22" t="s">
        <v>818</v>
      </c>
      <c r="D264" s="2" t="s">
        <v>818</v>
      </c>
      <c r="E264" s="5">
        <v>1594</v>
      </c>
      <c r="F264" s="2" t="b">
        <v>1</v>
      </c>
      <c r="G264" s="5">
        <v>182242</v>
      </c>
      <c r="H264" s="2" t="s">
        <v>818</v>
      </c>
      <c r="I264" s="5">
        <v>4283</v>
      </c>
      <c r="J264" s="2" t="b">
        <v>1</v>
      </c>
      <c r="K264" s="5">
        <v>2717</v>
      </c>
      <c r="L264" s="4" t="b">
        <v>1</v>
      </c>
      <c r="M264" s="5">
        <v>6226</v>
      </c>
      <c r="N264" s="2" t="s">
        <v>876</v>
      </c>
      <c r="O264" s="5">
        <v>282</v>
      </c>
      <c r="P264" s="2" t="s">
        <v>818</v>
      </c>
      <c r="Q264" s="5">
        <v>1784</v>
      </c>
      <c r="R264" s="2"/>
      <c r="T264" s="2"/>
    </row>
    <row r="265" spans="1:20" x14ac:dyDescent="0.2">
      <c r="A265" s="103"/>
      <c r="B265" s="28" t="s">
        <v>615</v>
      </c>
      <c r="C265" s="22" t="s">
        <v>818</v>
      </c>
      <c r="D265" s="2" t="s">
        <v>837</v>
      </c>
      <c r="E265" s="5">
        <v>901326</v>
      </c>
      <c r="F265" s="2" t="b">
        <v>1</v>
      </c>
      <c r="G265" s="5">
        <v>184027</v>
      </c>
      <c r="H265" s="2" t="s">
        <v>818</v>
      </c>
      <c r="I265" s="5">
        <v>15975</v>
      </c>
      <c r="J265" s="2" t="b">
        <v>1</v>
      </c>
      <c r="K265" s="5">
        <v>13814</v>
      </c>
      <c r="L265" s="4" t="s">
        <v>837</v>
      </c>
      <c r="M265" s="5">
        <v>911761</v>
      </c>
      <c r="N265" s="2" t="s">
        <v>823</v>
      </c>
      <c r="O265" s="5">
        <v>891</v>
      </c>
      <c r="P265" s="2" t="s">
        <v>837</v>
      </c>
      <c r="Q265" s="5">
        <v>910052</v>
      </c>
      <c r="R265" s="2"/>
      <c r="T265" s="2"/>
    </row>
    <row r="266" spans="1:20" x14ac:dyDescent="0.2">
      <c r="A266" s="103"/>
      <c r="B266" s="28" t="s">
        <v>614</v>
      </c>
      <c r="C266" s="22" t="s">
        <v>818</v>
      </c>
      <c r="D266" s="2" t="s">
        <v>818</v>
      </c>
      <c r="E266" s="5">
        <v>1804</v>
      </c>
      <c r="F266" s="2" t="b">
        <v>1</v>
      </c>
      <c r="G266" s="5">
        <v>65025</v>
      </c>
      <c r="H266" s="2" t="s">
        <v>818</v>
      </c>
      <c r="I266" s="5">
        <v>11718</v>
      </c>
      <c r="J266" s="2" t="b">
        <v>1</v>
      </c>
      <c r="K266" s="5">
        <v>3246</v>
      </c>
      <c r="L266" s="4" t="b">
        <v>1</v>
      </c>
      <c r="M266" s="5">
        <v>6107</v>
      </c>
      <c r="N266" s="2" t="s">
        <v>823</v>
      </c>
      <c r="O266" s="5">
        <v>2395</v>
      </c>
      <c r="P266" s="2" t="s">
        <v>818</v>
      </c>
      <c r="Q266" s="5">
        <v>4609</v>
      </c>
      <c r="R266" s="2"/>
      <c r="T266" s="2"/>
    </row>
    <row r="267" spans="1:20" x14ac:dyDescent="0.2">
      <c r="A267" s="103"/>
      <c r="B267" s="28" t="s">
        <v>613</v>
      </c>
      <c r="C267" s="22" t="s">
        <v>818</v>
      </c>
      <c r="D267" s="2" t="s">
        <v>818</v>
      </c>
      <c r="E267" s="5">
        <v>1943</v>
      </c>
      <c r="F267" s="2" t="b">
        <v>1</v>
      </c>
      <c r="G267" s="5">
        <v>8515</v>
      </c>
      <c r="H267" s="2" t="s">
        <v>818</v>
      </c>
      <c r="I267" s="5">
        <v>35491</v>
      </c>
      <c r="J267" s="2" t="b">
        <v>1</v>
      </c>
      <c r="K267" s="5">
        <v>2854</v>
      </c>
      <c r="L267" s="4" t="b">
        <v>1</v>
      </c>
      <c r="M267" s="5">
        <v>5988</v>
      </c>
      <c r="N267" s="2" t="s">
        <v>876</v>
      </c>
      <c r="O267" s="5">
        <v>442</v>
      </c>
      <c r="P267" s="2" t="s">
        <v>837</v>
      </c>
      <c r="Q267" s="5">
        <v>910066</v>
      </c>
      <c r="R267" s="2"/>
      <c r="T267" s="2"/>
    </row>
    <row r="268" spans="1:20" x14ac:dyDescent="0.2">
      <c r="A268" s="103"/>
      <c r="B268" s="28" t="s">
        <v>612</v>
      </c>
      <c r="C268" s="22" t="s">
        <v>818</v>
      </c>
      <c r="D268" s="2" t="s">
        <v>818</v>
      </c>
      <c r="E268" s="5">
        <v>4689</v>
      </c>
      <c r="F268" s="2" t="b">
        <v>1</v>
      </c>
      <c r="G268" s="5">
        <v>183873</v>
      </c>
      <c r="H268" s="2" t="s">
        <v>818</v>
      </c>
      <c r="I268" s="5">
        <v>28623</v>
      </c>
      <c r="J268" s="2" t="b">
        <v>1</v>
      </c>
      <c r="K268" s="5">
        <v>5314</v>
      </c>
      <c r="L268" s="4" t="b">
        <v>1</v>
      </c>
      <c r="M268" s="5">
        <v>8208</v>
      </c>
      <c r="N268" s="2" t="s">
        <v>823</v>
      </c>
      <c r="O268" s="5">
        <v>1059</v>
      </c>
      <c r="P268" s="2" t="s">
        <v>818</v>
      </c>
      <c r="Q268" s="5">
        <v>36380</v>
      </c>
      <c r="R268" s="2"/>
      <c r="T268" s="2"/>
    </row>
    <row r="269" spans="1:20" x14ac:dyDescent="0.2">
      <c r="A269" s="103"/>
      <c r="B269" s="28" t="s">
        <v>611</v>
      </c>
      <c r="C269" s="22" t="s">
        <v>818</v>
      </c>
      <c r="D269" s="2" t="s">
        <v>818</v>
      </c>
      <c r="E269" s="5">
        <v>2296</v>
      </c>
      <c r="F269" s="2" t="b">
        <v>1</v>
      </c>
      <c r="G269" s="5">
        <v>182984</v>
      </c>
      <c r="H269" s="2" t="s">
        <v>818</v>
      </c>
      <c r="I269" s="5">
        <v>6040</v>
      </c>
      <c r="J269" s="2" t="b">
        <v>1</v>
      </c>
      <c r="K269" s="5">
        <v>3704</v>
      </c>
      <c r="L269" s="4" t="s">
        <v>837</v>
      </c>
      <c r="M269" s="5">
        <v>911776</v>
      </c>
      <c r="N269" s="2" t="s">
        <v>823</v>
      </c>
      <c r="O269" s="5">
        <v>338</v>
      </c>
      <c r="P269" s="2" t="s">
        <v>818</v>
      </c>
      <c r="Q269" s="5">
        <v>10048</v>
      </c>
      <c r="R269" s="2"/>
      <c r="T269" s="2"/>
    </row>
    <row r="270" spans="1:20" x14ac:dyDescent="0.2">
      <c r="A270" s="103"/>
      <c r="B270" s="28" t="s">
        <v>610</v>
      </c>
      <c r="C270" s="22" t="s">
        <v>818</v>
      </c>
      <c r="D270" s="2" t="s">
        <v>818</v>
      </c>
      <c r="E270" s="5">
        <v>2500</v>
      </c>
      <c r="F270" s="2" t="b">
        <v>1</v>
      </c>
      <c r="G270" s="5">
        <v>182998</v>
      </c>
      <c r="H270" s="2" t="s">
        <v>818</v>
      </c>
      <c r="I270" s="5">
        <v>6480</v>
      </c>
      <c r="J270" s="2" t="b">
        <v>1</v>
      </c>
      <c r="K270" s="5">
        <v>3440</v>
      </c>
      <c r="L270" s="4" t="s">
        <v>833</v>
      </c>
      <c r="M270" s="5">
        <v>9396</v>
      </c>
      <c r="N270" s="2" t="s">
        <v>876</v>
      </c>
      <c r="O270" s="5">
        <v>355</v>
      </c>
      <c r="P270" s="2" t="s">
        <v>818</v>
      </c>
      <c r="Q270" s="5">
        <v>4553</v>
      </c>
      <c r="R270" s="2"/>
      <c r="T270" s="2"/>
    </row>
    <row r="271" spans="1:20" x14ac:dyDescent="0.2">
      <c r="A271" s="103"/>
      <c r="B271" s="28" t="s">
        <v>609</v>
      </c>
      <c r="C271" s="22" t="s">
        <v>818</v>
      </c>
      <c r="D271" s="2" t="s">
        <v>818</v>
      </c>
      <c r="E271" s="5">
        <v>2993</v>
      </c>
      <c r="F271" s="2" t="b">
        <v>1</v>
      </c>
      <c r="G271" s="5">
        <v>184646</v>
      </c>
      <c r="H271" s="2" t="s">
        <v>818</v>
      </c>
      <c r="I271" s="5">
        <v>8574</v>
      </c>
      <c r="J271" s="2" t="b">
        <v>1</v>
      </c>
      <c r="K271" s="5">
        <v>4123</v>
      </c>
      <c r="L271" s="4" t="b">
        <v>1</v>
      </c>
      <c r="M271" s="5">
        <v>7969</v>
      </c>
      <c r="N271" s="2" t="s">
        <v>876</v>
      </c>
      <c r="O271" s="5">
        <v>357</v>
      </c>
      <c r="P271" s="2" t="s">
        <v>818</v>
      </c>
      <c r="Q271" s="5">
        <v>11753</v>
      </c>
      <c r="R271" s="2"/>
      <c r="T271" s="2"/>
    </row>
    <row r="272" spans="1:20" x14ac:dyDescent="0.2">
      <c r="A272" s="103"/>
      <c r="B272" s="28" t="s">
        <v>608</v>
      </c>
      <c r="C272" s="22" t="s">
        <v>818</v>
      </c>
      <c r="D272" s="2" t="s">
        <v>818</v>
      </c>
      <c r="E272" s="5">
        <v>1951</v>
      </c>
      <c r="F272" s="2" t="b">
        <v>1</v>
      </c>
      <c r="G272" s="5">
        <v>182327</v>
      </c>
      <c r="H272" s="2" t="s">
        <v>818</v>
      </c>
      <c r="I272" s="5">
        <v>7203</v>
      </c>
      <c r="J272" s="2" t="b">
        <v>1</v>
      </c>
      <c r="K272" s="5">
        <v>3709</v>
      </c>
      <c r="L272" s="4" t="s">
        <v>833</v>
      </c>
      <c r="M272" s="5">
        <v>5732</v>
      </c>
      <c r="N272" s="2" t="s">
        <v>876</v>
      </c>
      <c r="O272" s="5">
        <v>287</v>
      </c>
      <c r="P272" s="2" t="s">
        <v>818</v>
      </c>
      <c r="Q272" s="5">
        <v>2553</v>
      </c>
      <c r="R272" s="2"/>
      <c r="T272" s="2"/>
    </row>
    <row r="273" spans="1:20" x14ac:dyDescent="0.2">
      <c r="A273" s="103"/>
      <c r="B273" s="28" t="s">
        <v>607</v>
      </c>
      <c r="C273" s="22" t="s">
        <v>818</v>
      </c>
      <c r="D273" s="2" t="s">
        <v>818</v>
      </c>
      <c r="E273" s="5">
        <v>2783</v>
      </c>
      <c r="F273" s="2" t="b">
        <v>1</v>
      </c>
      <c r="G273" s="5">
        <v>182933</v>
      </c>
      <c r="H273" s="2" t="s">
        <v>818</v>
      </c>
      <c r="I273" s="5">
        <v>5438</v>
      </c>
      <c r="J273" s="2" t="b">
        <v>1</v>
      </c>
      <c r="K273" s="5">
        <v>9225</v>
      </c>
      <c r="L273" s="4" t="b">
        <v>1</v>
      </c>
      <c r="M273" s="5">
        <v>6018</v>
      </c>
      <c r="N273" s="2" t="s">
        <v>876</v>
      </c>
      <c r="O273" s="5">
        <v>419</v>
      </c>
      <c r="P273" s="2" t="s">
        <v>818</v>
      </c>
      <c r="Q273" s="5">
        <v>11528</v>
      </c>
      <c r="R273" s="2"/>
      <c r="T273" s="2"/>
    </row>
    <row r="274" spans="1:20" x14ac:dyDescent="0.2">
      <c r="A274" s="103"/>
      <c r="B274" s="28" t="s">
        <v>606</v>
      </c>
      <c r="C274" s="22" t="s">
        <v>818</v>
      </c>
      <c r="D274" s="2" t="s">
        <v>818</v>
      </c>
      <c r="E274" s="5">
        <v>2231</v>
      </c>
      <c r="F274" s="2" t="b">
        <v>1</v>
      </c>
      <c r="G274" s="5">
        <v>182917</v>
      </c>
      <c r="H274" s="2" t="s">
        <v>818</v>
      </c>
      <c r="I274" s="5">
        <v>7879</v>
      </c>
      <c r="J274" s="2" t="b">
        <v>1</v>
      </c>
      <c r="K274" s="5">
        <v>4667</v>
      </c>
      <c r="L274" s="4" t="s">
        <v>837</v>
      </c>
      <c r="M274" s="5">
        <v>911783</v>
      </c>
      <c r="N274" s="2" t="s">
        <v>876</v>
      </c>
      <c r="O274" s="5">
        <v>335</v>
      </c>
      <c r="P274" s="2" t="s">
        <v>818</v>
      </c>
      <c r="Q274" s="5">
        <v>24877</v>
      </c>
      <c r="R274" s="2"/>
      <c r="T274" s="2"/>
    </row>
    <row r="275" spans="1:20" x14ac:dyDescent="0.2">
      <c r="A275" s="103"/>
      <c r="B275" s="28" t="s">
        <v>605</v>
      </c>
      <c r="C275" s="22" t="s">
        <v>818</v>
      </c>
      <c r="D275" s="2" t="s">
        <v>818</v>
      </c>
      <c r="E275" s="5">
        <v>4776</v>
      </c>
      <c r="F275" s="2" t="b">
        <v>1</v>
      </c>
      <c r="G275" s="5">
        <v>182718</v>
      </c>
      <c r="H275" s="2" t="s">
        <v>818</v>
      </c>
      <c r="I275" s="5">
        <v>6517</v>
      </c>
      <c r="J275" s="2" t="b">
        <v>1</v>
      </c>
      <c r="K275" s="5">
        <v>4079</v>
      </c>
      <c r="L275" s="4" t="b">
        <v>1</v>
      </c>
      <c r="M275" s="5">
        <v>6888</v>
      </c>
      <c r="N275" s="2" t="s">
        <v>876</v>
      </c>
      <c r="O275" s="5">
        <v>358</v>
      </c>
      <c r="P275" s="2" t="s">
        <v>818</v>
      </c>
      <c r="Q275" s="5">
        <v>36255</v>
      </c>
      <c r="R275" s="2"/>
      <c r="T275" s="2"/>
    </row>
    <row r="276" spans="1:20" x14ac:dyDescent="0.2">
      <c r="A276" s="103"/>
      <c r="B276" s="28" t="s">
        <v>604</v>
      </c>
      <c r="C276" s="22" t="s">
        <v>818</v>
      </c>
      <c r="D276" s="2" t="s">
        <v>818</v>
      </c>
      <c r="E276" s="5">
        <v>2378</v>
      </c>
      <c r="F276" s="2" t="b">
        <v>1</v>
      </c>
      <c r="G276" s="5">
        <v>182418</v>
      </c>
      <c r="H276" s="2" t="s">
        <v>818</v>
      </c>
      <c r="I276" s="5">
        <v>26970</v>
      </c>
      <c r="J276" s="2" t="b">
        <v>1</v>
      </c>
      <c r="K276" s="5">
        <v>4494</v>
      </c>
      <c r="L276" s="4" t="b">
        <v>1</v>
      </c>
      <c r="M276" s="5">
        <v>6656</v>
      </c>
      <c r="N276" s="2" t="s">
        <v>876</v>
      </c>
      <c r="O276" s="5">
        <v>317</v>
      </c>
      <c r="P276" s="2" t="s">
        <v>818</v>
      </c>
      <c r="Q276" s="5">
        <v>2782</v>
      </c>
      <c r="R276" s="2"/>
      <c r="T276" s="2"/>
    </row>
    <row r="277" spans="1:20" x14ac:dyDescent="0.2">
      <c r="A277" s="103"/>
      <c r="B277" s="28" t="s">
        <v>603</v>
      </c>
      <c r="C277" s="22" t="s">
        <v>820</v>
      </c>
      <c r="D277" s="2" t="s">
        <v>820</v>
      </c>
      <c r="E277" s="5">
        <v>1804</v>
      </c>
      <c r="F277" s="2" t="b">
        <v>0</v>
      </c>
      <c r="G277" s="5">
        <v>2661</v>
      </c>
      <c r="H277" s="75" t="s">
        <v>820</v>
      </c>
      <c r="I277" s="5">
        <v>36268</v>
      </c>
      <c r="J277" s="2" t="b">
        <v>0</v>
      </c>
      <c r="K277" s="5">
        <v>3400</v>
      </c>
      <c r="L277" s="4" t="s">
        <v>833</v>
      </c>
      <c r="M277" s="5">
        <v>901072</v>
      </c>
      <c r="N277" s="2" t="s">
        <v>823</v>
      </c>
      <c r="O277" s="5">
        <v>385</v>
      </c>
      <c r="P277" s="2" t="s">
        <v>820</v>
      </c>
      <c r="Q277" s="5">
        <v>1749</v>
      </c>
      <c r="R277" s="2"/>
      <c r="T277" s="2"/>
    </row>
    <row r="278" spans="1:20" x14ac:dyDescent="0.2">
      <c r="A278" s="103"/>
      <c r="B278" s="28" t="s">
        <v>602</v>
      </c>
      <c r="C278" s="22" t="s">
        <v>820</v>
      </c>
      <c r="D278" s="2" t="s">
        <v>820</v>
      </c>
      <c r="E278" s="5">
        <v>1813</v>
      </c>
      <c r="F278" s="2" t="b">
        <v>0</v>
      </c>
      <c r="G278" s="5">
        <v>2740</v>
      </c>
      <c r="H278" s="75" t="s">
        <v>820</v>
      </c>
      <c r="I278" s="5">
        <v>35857</v>
      </c>
      <c r="J278" s="2" t="b">
        <v>0</v>
      </c>
      <c r="K278" s="5">
        <v>3624</v>
      </c>
      <c r="L278" s="4" t="s">
        <v>833</v>
      </c>
      <c r="M278" s="5">
        <v>900996</v>
      </c>
      <c r="N278" s="2" t="s">
        <v>823</v>
      </c>
      <c r="O278" s="5">
        <v>355</v>
      </c>
      <c r="P278" s="2" t="s">
        <v>820</v>
      </c>
      <c r="Q278" s="5">
        <v>6469</v>
      </c>
      <c r="R278" s="2"/>
      <c r="T278" s="2"/>
    </row>
    <row r="279" spans="1:20" x14ac:dyDescent="0.2">
      <c r="A279" s="103"/>
      <c r="B279" s="28" t="s">
        <v>601</v>
      </c>
      <c r="C279" s="22" t="s">
        <v>820</v>
      </c>
      <c r="D279" s="2" t="s">
        <v>820</v>
      </c>
      <c r="E279" s="5">
        <v>2276</v>
      </c>
      <c r="F279" s="2" t="s">
        <v>883</v>
      </c>
      <c r="G279" s="5">
        <v>200060</v>
      </c>
      <c r="H279" s="76" t="s">
        <v>820</v>
      </c>
      <c r="I279" s="5">
        <v>910039</v>
      </c>
      <c r="J279" s="2" t="b">
        <v>0</v>
      </c>
      <c r="K279" s="5">
        <v>3232</v>
      </c>
      <c r="L279" s="4" t="s">
        <v>833</v>
      </c>
      <c r="M279" s="5">
        <v>901038</v>
      </c>
      <c r="N279" s="2" t="s">
        <v>823</v>
      </c>
      <c r="O279" s="5">
        <v>516</v>
      </c>
      <c r="P279" s="2" t="s">
        <v>820</v>
      </c>
      <c r="Q279" s="5">
        <v>5529</v>
      </c>
      <c r="R279" s="2"/>
      <c r="T279" s="2"/>
    </row>
    <row r="280" spans="1:20" x14ac:dyDescent="0.2">
      <c r="A280" s="103"/>
      <c r="B280" s="28" t="s">
        <v>600</v>
      </c>
      <c r="C280" s="22" t="s">
        <v>820</v>
      </c>
      <c r="D280" s="2" t="s">
        <v>820</v>
      </c>
      <c r="E280" s="5">
        <v>1876</v>
      </c>
      <c r="F280" s="2" t="b">
        <v>0</v>
      </c>
      <c r="G280" s="5">
        <v>2685</v>
      </c>
      <c r="H280" s="75" t="s">
        <v>820</v>
      </c>
      <c r="I280" s="5">
        <v>18961</v>
      </c>
      <c r="J280" s="2" t="b">
        <v>0</v>
      </c>
      <c r="K280" s="5">
        <v>3148</v>
      </c>
      <c r="L280" s="4" t="s">
        <v>833</v>
      </c>
      <c r="M280" s="5">
        <v>901032</v>
      </c>
      <c r="N280" s="2" t="s">
        <v>823</v>
      </c>
      <c r="O280" s="5">
        <v>389</v>
      </c>
      <c r="P280" s="2" t="s">
        <v>820</v>
      </c>
      <c r="Q280" s="5">
        <v>2498</v>
      </c>
      <c r="R280" s="2"/>
      <c r="T280" s="2"/>
    </row>
    <row r="281" spans="1:20" x14ac:dyDescent="0.2">
      <c r="A281" s="103"/>
      <c r="B281" s="28" t="s">
        <v>599</v>
      </c>
      <c r="C281" s="22" t="s">
        <v>818</v>
      </c>
      <c r="D281" s="2" t="s">
        <v>818</v>
      </c>
      <c r="E281" s="5">
        <v>1578</v>
      </c>
      <c r="F281" s="2" t="b">
        <v>1</v>
      </c>
      <c r="G281" s="5">
        <v>182364</v>
      </c>
      <c r="H281" s="2" t="s">
        <v>818</v>
      </c>
      <c r="I281" s="5">
        <v>7088</v>
      </c>
      <c r="J281" s="2" t="b">
        <v>1</v>
      </c>
      <c r="K281" s="5">
        <v>3340</v>
      </c>
      <c r="L281" s="4" t="b">
        <v>1</v>
      </c>
      <c r="M281" s="5">
        <v>7264</v>
      </c>
      <c r="N281" s="2" t="s">
        <v>876</v>
      </c>
      <c r="O281" s="5">
        <v>403</v>
      </c>
      <c r="P281" s="2" t="s">
        <v>818</v>
      </c>
      <c r="Q281" s="5">
        <v>5490</v>
      </c>
      <c r="R281" s="2"/>
      <c r="T281" s="2"/>
    </row>
    <row r="282" spans="1:20" x14ac:dyDescent="0.2">
      <c r="A282" s="103"/>
      <c r="B282" s="28" t="s">
        <v>598</v>
      </c>
      <c r="C282" s="22" t="s">
        <v>818</v>
      </c>
      <c r="D282" s="2" t="s">
        <v>818</v>
      </c>
      <c r="E282" s="5">
        <v>1628</v>
      </c>
      <c r="F282" s="2" t="b">
        <v>1</v>
      </c>
      <c r="G282" s="5">
        <v>182304</v>
      </c>
      <c r="H282" s="2" t="s">
        <v>818</v>
      </c>
      <c r="I282" s="5">
        <v>4751</v>
      </c>
      <c r="J282" s="2" t="b">
        <v>1</v>
      </c>
      <c r="K282" s="5">
        <v>2917</v>
      </c>
      <c r="L282" s="4" t="b">
        <v>1</v>
      </c>
      <c r="M282" s="5">
        <v>5753</v>
      </c>
      <c r="N282" s="2" t="s">
        <v>876</v>
      </c>
      <c r="O282" s="5">
        <v>273</v>
      </c>
      <c r="P282" s="2" t="s">
        <v>818</v>
      </c>
      <c r="Q282" s="5">
        <v>2194</v>
      </c>
      <c r="R282" s="2"/>
      <c r="T282" s="2"/>
    </row>
    <row r="283" spans="1:20" x14ac:dyDescent="0.2">
      <c r="A283" s="103"/>
      <c r="B283" s="28" t="s">
        <v>597</v>
      </c>
      <c r="C283" s="22" t="s">
        <v>818</v>
      </c>
      <c r="D283" s="2" t="s">
        <v>818</v>
      </c>
      <c r="E283" s="5">
        <v>4929</v>
      </c>
      <c r="F283" s="2" t="b">
        <v>1</v>
      </c>
      <c r="G283" s="5">
        <v>182936</v>
      </c>
      <c r="H283" s="2" t="s">
        <v>818</v>
      </c>
      <c r="I283" s="5">
        <v>8078</v>
      </c>
      <c r="J283" s="2" t="b">
        <v>1</v>
      </c>
      <c r="K283" s="5">
        <v>6371</v>
      </c>
      <c r="L283" s="4" t="b">
        <v>1</v>
      </c>
      <c r="M283" s="5">
        <v>8671</v>
      </c>
      <c r="N283" s="2" t="s">
        <v>823</v>
      </c>
      <c r="O283" s="5">
        <v>2746</v>
      </c>
      <c r="P283" s="2" t="s">
        <v>818</v>
      </c>
      <c r="Q283" s="5">
        <v>22592</v>
      </c>
      <c r="R283" s="2"/>
      <c r="T283" s="2"/>
    </row>
    <row r="284" spans="1:20" x14ac:dyDescent="0.2">
      <c r="A284" s="103"/>
      <c r="B284" s="28" t="s">
        <v>596</v>
      </c>
      <c r="C284" s="22" t="s">
        <v>818</v>
      </c>
      <c r="D284" s="2" t="s">
        <v>818</v>
      </c>
      <c r="E284" s="5">
        <v>1907</v>
      </c>
      <c r="F284" s="2" t="b">
        <v>1</v>
      </c>
      <c r="G284" s="5">
        <v>51256</v>
      </c>
      <c r="H284" s="2" t="s">
        <v>818</v>
      </c>
      <c r="I284" s="5">
        <v>6259</v>
      </c>
      <c r="J284" s="2" t="b">
        <v>1</v>
      </c>
      <c r="K284" s="5">
        <v>4214</v>
      </c>
      <c r="L284" s="4" t="b">
        <v>1</v>
      </c>
      <c r="M284" s="5">
        <v>6142</v>
      </c>
      <c r="N284" s="2" t="s">
        <v>821</v>
      </c>
      <c r="O284" s="5">
        <v>900282</v>
      </c>
      <c r="P284" s="2" t="s">
        <v>818</v>
      </c>
      <c r="Q284" s="5">
        <v>13393</v>
      </c>
      <c r="R284" s="2"/>
      <c r="T284" s="2"/>
    </row>
    <row r="285" spans="1:20" x14ac:dyDescent="0.2">
      <c r="A285" s="103"/>
      <c r="B285" s="28" t="s">
        <v>595</v>
      </c>
      <c r="C285" s="22" t="s">
        <v>818</v>
      </c>
      <c r="D285" s="2" t="s">
        <v>818</v>
      </c>
      <c r="E285" s="5">
        <v>548</v>
      </c>
      <c r="F285" s="2" t="b">
        <v>1</v>
      </c>
      <c r="G285" s="5">
        <v>182370</v>
      </c>
      <c r="H285" s="2" t="s">
        <v>818</v>
      </c>
      <c r="I285" s="5">
        <v>75414</v>
      </c>
      <c r="J285" s="2" t="b">
        <v>1</v>
      </c>
      <c r="K285" s="5">
        <v>4711</v>
      </c>
      <c r="L285" s="4" t="s">
        <v>833</v>
      </c>
      <c r="M285" s="5">
        <v>5735</v>
      </c>
      <c r="N285" s="2" t="s">
        <v>876</v>
      </c>
      <c r="O285" s="5">
        <v>319</v>
      </c>
      <c r="P285" s="2" t="s">
        <v>818</v>
      </c>
      <c r="Q285" s="5">
        <v>2611</v>
      </c>
      <c r="R285" s="2"/>
      <c r="T285" s="2"/>
    </row>
    <row r="286" spans="1:20" x14ac:dyDescent="0.2">
      <c r="A286" s="103"/>
      <c r="B286" s="28" t="s">
        <v>594</v>
      </c>
      <c r="C286" s="22" t="s">
        <v>820</v>
      </c>
      <c r="D286" s="2" t="s">
        <v>820</v>
      </c>
      <c r="E286" s="5">
        <v>440</v>
      </c>
      <c r="F286" s="2" t="b">
        <v>0</v>
      </c>
      <c r="G286" s="5">
        <v>2018</v>
      </c>
      <c r="H286" s="75" t="s">
        <v>820</v>
      </c>
      <c r="I286" s="5">
        <v>13999</v>
      </c>
      <c r="J286" s="2" t="b">
        <v>0</v>
      </c>
      <c r="K286" s="5">
        <v>2326</v>
      </c>
      <c r="L286" s="4" t="s">
        <v>833</v>
      </c>
      <c r="M286" s="5">
        <v>901160</v>
      </c>
      <c r="N286" s="2" t="s">
        <v>823</v>
      </c>
      <c r="O286" s="5">
        <v>355</v>
      </c>
      <c r="P286" s="2" t="s">
        <v>820</v>
      </c>
      <c r="Q286" s="5">
        <v>2307</v>
      </c>
      <c r="R286" s="2"/>
      <c r="T286" s="2"/>
    </row>
    <row r="287" spans="1:20" x14ac:dyDescent="0.2">
      <c r="A287" s="103"/>
      <c r="B287" s="28" t="s">
        <v>593</v>
      </c>
      <c r="C287" s="22" t="s">
        <v>818</v>
      </c>
      <c r="D287" s="2" t="s">
        <v>818</v>
      </c>
      <c r="E287" s="5">
        <v>953</v>
      </c>
      <c r="F287" s="2" t="b">
        <v>1</v>
      </c>
      <c r="G287" s="5">
        <v>183133</v>
      </c>
      <c r="H287" s="64" t="s">
        <v>837</v>
      </c>
      <c r="I287" s="5">
        <v>910046</v>
      </c>
      <c r="J287" s="64" t="s">
        <v>833</v>
      </c>
      <c r="K287" s="5">
        <v>900351</v>
      </c>
      <c r="L287" s="4" t="b">
        <v>1</v>
      </c>
      <c r="M287" s="5">
        <v>22932</v>
      </c>
      <c r="N287" s="2" t="s">
        <v>823</v>
      </c>
      <c r="O287" s="5">
        <v>529</v>
      </c>
      <c r="P287" s="2" t="s">
        <v>818</v>
      </c>
      <c r="Q287" s="5">
        <v>22601</v>
      </c>
      <c r="R287" s="2"/>
      <c r="T287" s="2"/>
    </row>
    <row r="288" spans="1:20" x14ac:dyDescent="0.2">
      <c r="A288" s="103"/>
      <c r="B288" s="28" t="s">
        <v>592</v>
      </c>
      <c r="C288" s="22" t="s">
        <v>818</v>
      </c>
      <c r="D288" s="2" t="s">
        <v>818</v>
      </c>
      <c r="E288" s="5">
        <v>735</v>
      </c>
      <c r="F288" s="2" t="b">
        <v>1</v>
      </c>
      <c r="G288" s="5">
        <v>183225</v>
      </c>
      <c r="H288" s="2" t="s">
        <v>818</v>
      </c>
      <c r="I288" s="5">
        <v>9132</v>
      </c>
      <c r="J288" s="2" t="b">
        <v>1</v>
      </c>
      <c r="K288" s="5">
        <v>3518</v>
      </c>
      <c r="L288" s="4" t="s">
        <v>833</v>
      </c>
      <c r="M288" s="5">
        <v>903652</v>
      </c>
      <c r="N288" s="2" t="s">
        <v>876</v>
      </c>
      <c r="O288" s="5">
        <v>348</v>
      </c>
      <c r="P288" s="2" t="s">
        <v>818</v>
      </c>
      <c r="Q288" s="5">
        <v>16583</v>
      </c>
      <c r="R288" s="2"/>
      <c r="T288" s="2"/>
    </row>
    <row r="289" spans="1:20" x14ac:dyDescent="0.2">
      <c r="A289" s="103"/>
      <c r="B289" s="28" t="s">
        <v>591</v>
      </c>
      <c r="C289" s="22" t="s">
        <v>818</v>
      </c>
      <c r="D289" s="2" t="s">
        <v>818</v>
      </c>
      <c r="E289" s="5">
        <v>978</v>
      </c>
      <c r="F289" s="2" t="b">
        <v>1</v>
      </c>
      <c r="G289" s="5">
        <v>182883</v>
      </c>
      <c r="H289" s="2" t="s">
        <v>818</v>
      </c>
      <c r="I289" s="5">
        <v>11318</v>
      </c>
      <c r="J289" s="2" t="b">
        <v>1</v>
      </c>
      <c r="K289" s="5">
        <v>5316</v>
      </c>
      <c r="L289" s="4" t="b">
        <v>1</v>
      </c>
      <c r="M289" s="5">
        <v>7799</v>
      </c>
      <c r="N289" s="2" t="s">
        <v>823</v>
      </c>
      <c r="O289" s="5">
        <v>460</v>
      </c>
      <c r="P289" s="2" t="s">
        <v>818</v>
      </c>
      <c r="Q289" s="5">
        <v>22475</v>
      </c>
      <c r="R289" s="2"/>
      <c r="T289" s="2"/>
    </row>
    <row r="290" spans="1:20" x14ac:dyDescent="0.2">
      <c r="A290" s="103"/>
      <c r="B290" s="28" t="s">
        <v>590</v>
      </c>
      <c r="C290" s="22" t="s">
        <v>818</v>
      </c>
      <c r="D290" s="2" t="s">
        <v>818</v>
      </c>
      <c r="E290" s="5">
        <v>614</v>
      </c>
      <c r="F290" s="2" t="b">
        <v>1</v>
      </c>
      <c r="G290" s="5">
        <v>47005</v>
      </c>
      <c r="H290" s="2" t="s">
        <v>818</v>
      </c>
      <c r="I290" s="5">
        <v>4955</v>
      </c>
      <c r="J290" s="2" t="b">
        <v>1</v>
      </c>
      <c r="K290" s="5">
        <v>2851</v>
      </c>
      <c r="L290" s="4" t="b">
        <v>1</v>
      </c>
      <c r="M290" s="5">
        <v>6317</v>
      </c>
      <c r="N290" s="2" t="s">
        <v>823</v>
      </c>
      <c r="O290" s="5">
        <v>665</v>
      </c>
      <c r="P290" s="2" t="s">
        <v>818</v>
      </c>
      <c r="Q290" s="5">
        <v>2997</v>
      </c>
      <c r="R290" s="2"/>
      <c r="T290" s="2"/>
    </row>
    <row r="291" spans="1:20" x14ac:dyDescent="0.2">
      <c r="A291" s="103"/>
      <c r="B291" s="28" t="s">
        <v>589</v>
      </c>
      <c r="C291" s="22" t="s">
        <v>818</v>
      </c>
      <c r="D291" s="2" t="s">
        <v>818</v>
      </c>
      <c r="E291" s="5">
        <v>419</v>
      </c>
      <c r="F291" s="2" t="b">
        <v>1</v>
      </c>
      <c r="G291" s="5">
        <v>182284</v>
      </c>
      <c r="H291" s="2" t="s">
        <v>818</v>
      </c>
      <c r="I291" s="5">
        <v>3815</v>
      </c>
      <c r="J291" s="2" t="b">
        <v>1</v>
      </c>
      <c r="K291" s="5">
        <v>2941</v>
      </c>
      <c r="L291" s="4" t="b">
        <v>1</v>
      </c>
      <c r="M291" s="5">
        <v>5832</v>
      </c>
      <c r="N291" s="2" t="s">
        <v>823</v>
      </c>
      <c r="O291" s="5">
        <v>413</v>
      </c>
      <c r="P291" s="2" t="s">
        <v>818</v>
      </c>
      <c r="Q291" s="5">
        <v>2249</v>
      </c>
      <c r="R291" s="2"/>
      <c r="T291" s="2"/>
    </row>
    <row r="292" spans="1:20" x14ac:dyDescent="0.2">
      <c r="A292" s="103"/>
      <c r="B292" s="28" t="s">
        <v>588</v>
      </c>
      <c r="C292" s="22" t="s">
        <v>818</v>
      </c>
      <c r="D292" s="2" t="s">
        <v>818</v>
      </c>
      <c r="E292" s="5">
        <v>1374</v>
      </c>
      <c r="F292" s="2" t="b">
        <v>1</v>
      </c>
      <c r="G292" s="5">
        <v>185864</v>
      </c>
      <c r="H292" s="64" t="s">
        <v>837</v>
      </c>
      <c r="I292" s="5">
        <v>910037</v>
      </c>
      <c r="J292" s="2" t="b">
        <v>1</v>
      </c>
      <c r="K292" s="5">
        <v>5216</v>
      </c>
      <c r="L292" s="4" t="b">
        <v>1</v>
      </c>
      <c r="M292" s="5">
        <v>7945</v>
      </c>
      <c r="N292" s="2" t="s">
        <v>823</v>
      </c>
      <c r="O292" s="5">
        <v>468</v>
      </c>
      <c r="P292" s="2" t="s">
        <v>818</v>
      </c>
      <c r="Q292" s="5">
        <v>30884</v>
      </c>
      <c r="R292" s="2"/>
      <c r="T292" s="2"/>
    </row>
    <row r="293" spans="1:20" x14ac:dyDescent="0.2">
      <c r="A293" s="103"/>
      <c r="B293" s="28" t="s">
        <v>587</v>
      </c>
      <c r="C293" s="22" t="s">
        <v>818</v>
      </c>
      <c r="D293" s="2" t="s">
        <v>818</v>
      </c>
      <c r="E293" s="5">
        <v>27703</v>
      </c>
      <c r="F293" s="2" t="s">
        <v>883</v>
      </c>
      <c r="G293" s="5">
        <v>301792</v>
      </c>
      <c r="H293" s="64" t="s">
        <v>837</v>
      </c>
      <c r="I293" s="5">
        <v>910044</v>
      </c>
      <c r="J293" s="2" t="s">
        <v>833</v>
      </c>
      <c r="K293" s="5">
        <v>12123</v>
      </c>
      <c r="L293" s="4" t="s">
        <v>833</v>
      </c>
      <c r="M293" s="5">
        <v>901067</v>
      </c>
      <c r="N293" s="2" t="s">
        <v>823</v>
      </c>
      <c r="O293" s="5">
        <v>606</v>
      </c>
      <c r="P293" s="2" t="s">
        <v>837</v>
      </c>
      <c r="Q293" s="5">
        <v>910095</v>
      </c>
      <c r="R293" s="2"/>
      <c r="T293" s="2"/>
    </row>
    <row r="294" spans="1:20" x14ac:dyDescent="0.2">
      <c r="A294" s="103"/>
      <c r="B294" s="28" t="s">
        <v>586</v>
      </c>
      <c r="C294" s="22" t="s">
        <v>818</v>
      </c>
      <c r="D294" s="2" t="s">
        <v>818</v>
      </c>
      <c r="E294" s="5">
        <v>212284</v>
      </c>
      <c r="F294" s="2" t="b">
        <v>0</v>
      </c>
      <c r="G294" s="5">
        <v>2812</v>
      </c>
      <c r="H294" s="64" t="s">
        <v>837</v>
      </c>
      <c r="I294" s="5">
        <v>910048</v>
      </c>
      <c r="J294" s="2" t="b">
        <v>1</v>
      </c>
      <c r="K294" s="5">
        <v>4465</v>
      </c>
      <c r="L294" s="4" t="b">
        <v>1</v>
      </c>
      <c r="M294" s="5">
        <v>10474</v>
      </c>
      <c r="N294" s="2" t="s">
        <v>823</v>
      </c>
      <c r="O294" s="5">
        <v>716</v>
      </c>
      <c r="P294" s="2" t="s">
        <v>838</v>
      </c>
      <c r="Q294" s="5">
        <v>375554</v>
      </c>
      <c r="R294" s="2"/>
      <c r="T294" s="2"/>
    </row>
    <row r="295" spans="1:20" x14ac:dyDescent="0.2">
      <c r="A295" s="103"/>
      <c r="B295" s="28" t="s">
        <v>585</v>
      </c>
      <c r="C295" s="22" t="s">
        <v>818</v>
      </c>
      <c r="D295" s="2" t="s">
        <v>818</v>
      </c>
      <c r="E295" s="5">
        <v>10167</v>
      </c>
      <c r="F295" s="2" t="b">
        <v>0</v>
      </c>
      <c r="G295" s="5">
        <v>2019</v>
      </c>
      <c r="H295" s="2" t="s">
        <v>818</v>
      </c>
      <c r="I295" s="5">
        <v>25296</v>
      </c>
      <c r="J295" s="2" t="b">
        <v>1</v>
      </c>
      <c r="K295" s="5">
        <v>3320</v>
      </c>
      <c r="L295" s="4" t="b">
        <v>1</v>
      </c>
      <c r="M295" s="5">
        <v>7842</v>
      </c>
      <c r="N295" s="2" t="s">
        <v>823</v>
      </c>
      <c r="O295" s="5">
        <v>74773</v>
      </c>
      <c r="P295" s="2" t="s">
        <v>818</v>
      </c>
      <c r="Q295" s="5">
        <v>15116</v>
      </c>
      <c r="R295" s="2"/>
      <c r="T295" s="2"/>
    </row>
    <row r="296" spans="1:20" x14ac:dyDescent="0.2">
      <c r="A296" s="103"/>
      <c r="B296" s="28" t="s">
        <v>584</v>
      </c>
      <c r="C296" s="22" t="s">
        <v>818</v>
      </c>
      <c r="D296" s="2" t="s">
        <v>818</v>
      </c>
      <c r="E296" s="5">
        <v>571</v>
      </c>
      <c r="F296" s="2" t="b">
        <v>1</v>
      </c>
      <c r="G296" s="5">
        <v>65415</v>
      </c>
      <c r="H296" s="2" t="s">
        <v>818</v>
      </c>
      <c r="I296" s="5">
        <v>10528</v>
      </c>
      <c r="J296" s="2" t="b">
        <v>1</v>
      </c>
      <c r="K296" s="5">
        <v>2826</v>
      </c>
      <c r="L296" s="4" t="b">
        <v>1</v>
      </c>
      <c r="M296" s="5">
        <v>6194</v>
      </c>
      <c r="N296" s="2" t="s">
        <v>823</v>
      </c>
      <c r="O296" s="5">
        <v>3459</v>
      </c>
      <c r="P296" s="2" t="s">
        <v>818</v>
      </c>
      <c r="Q296" s="5">
        <v>3942</v>
      </c>
      <c r="R296" s="2"/>
      <c r="T296" s="2"/>
    </row>
    <row r="297" spans="1:20" x14ac:dyDescent="0.2">
      <c r="A297" s="103"/>
      <c r="B297" s="28" t="s">
        <v>583</v>
      </c>
      <c r="C297" s="22" t="s">
        <v>818</v>
      </c>
      <c r="D297" s="2" t="s">
        <v>818</v>
      </c>
      <c r="E297" s="5">
        <v>613</v>
      </c>
      <c r="F297" s="2" t="b">
        <v>1</v>
      </c>
      <c r="G297" s="5">
        <v>8490</v>
      </c>
      <c r="H297" s="2" t="s">
        <v>818</v>
      </c>
      <c r="I297" s="5">
        <v>34624</v>
      </c>
      <c r="J297" s="2" t="b">
        <v>1</v>
      </c>
      <c r="K297" s="5">
        <v>2898</v>
      </c>
      <c r="L297" s="4" t="b">
        <v>1</v>
      </c>
      <c r="M297" s="5">
        <v>6029</v>
      </c>
      <c r="N297" s="2" t="s">
        <v>876</v>
      </c>
      <c r="O297" s="5">
        <v>433</v>
      </c>
      <c r="P297" s="2" t="s">
        <v>837</v>
      </c>
      <c r="Q297" s="5">
        <v>910081</v>
      </c>
      <c r="R297" s="2"/>
      <c r="T297" s="2"/>
    </row>
    <row r="298" spans="1:20" x14ac:dyDescent="0.2">
      <c r="A298" s="103"/>
      <c r="B298" s="28" t="s">
        <v>582</v>
      </c>
      <c r="C298" s="22" t="s">
        <v>820</v>
      </c>
      <c r="D298" s="2" t="s">
        <v>820</v>
      </c>
      <c r="E298" s="5">
        <v>509</v>
      </c>
      <c r="F298" s="2" t="b">
        <v>0</v>
      </c>
      <c r="G298" s="5">
        <v>1987</v>
      </c>
      <c r="H298" s="75" t="s">
        <v>820</v>
      </c>
      <c r="I298" s="5">
        <v>5654</v>
      </c>
      <c r="J298" s="2" t="b">
        <v>0</v>
      </c>
      <c r="K298" s="5">
        <v>2320</v>
      </c>
      <c r="L298" s="4" t="s">
        <v>833</v>
      </c>
      <c r="M298" s="5">
        <v>901041</v>
      </c>
      <c r="N298" s="2" t="s">
        <v>823</v>
      </c>
      <c r="O298" s="5">
        <v>365</v>
      </c>
      <c r="P298" s="2" t="s">
        <v>820</v>
      </c>
      <c r="Q298" s="5">
        <v>1817</v>
      </c>
      <c r="R298" s="2"/>
      <c r="T298" s="2"/>
    </row>
    <row r="299" spans="1:20" x14ac:dyDescent="0.2">
      <c r="A299" s="103"/>
      <c r="B299" s="28" t="s">
        <v>581</v>
      </c>
      <c r="C299" s="22" t="s">
        <v>818</v>
      </c>
      <c r="D299" s="2" t="s">
        <v>818</v>
      </c>
      <c r="E299" s="5">
        <v>1943</v>
      </c>
      <c r="F299" s="2" t="b">
        <v>1</v>
      </c>
      <c r="G299" s="5">
        <v>42696</v>
      </c>
      <c r="H299" s="2" t="s">
        <v>818</v>
      </c>
      <c r="I299" s="5">
        <v>8149</v>
      </c>
      <c r="J299" s="2" t="s">
        <v>833</v>
      </c>
      <c r="K299" s="5">
        <v>8225</v>
      </c>
      <c r="L299" s="4" t="s">
        <v>833</v>
      </c>
      <c r="M299" s="5">
        <v>5721</v>
      </c>
      <c r="N299" s="2" t="s">
        <v>823</v>
      </c>
      <c r="O299" s="5">
        <v>363</v>
      </c>
      <c r="P299" s="2" t="s">
        <v>818</v>
      </c>
      <c r="Q299" s="5">
        <v>12937</v>
      </c>
      <c r="R299" s="2"/>
      <c r="T299" s="2"/>
    </row>
    <row r="300" spans="1:20" x14ac:dyDescent="0.2">
      <c r="A300" s="103"/>
      <c r="B300" s="28" t="s">
        <v>580</v>
      </c>
      <c r="C300" s="22" t="s">
        <v>818</v>
      </c>
      <c r="D300" s="2" t="s">
        <v>818</v>
      </c>
      <c r="E300" s="5">
        <v>397</v>
      </c>
      <c r="F300" s="2" t="b">
        <v>1</v>
      </c>
      <c r="G300" s="5">
        <v>36977</v>
      </c>
      <c r="H300" s="2" t="s">
        <v>818</v>
      </c>
      <c r="I300" s="5">
        <v>4946</v>
      </c>
      <c r="J300" s="2" t="b">
        <v>1</v>
      </c>
      <c r="K300" s="5">
        <v>3161</v>
      </c>
      <c r="L300" s="4" t="b">
        <v>1</v>
      </c>
      <c r="M300" s="5">
        <v>5890</v>
      </c>
      <c r="N300" s="2" t="s">
        <v>823</v>
      </c>
      <c r="O300" s="5">
        <v>517</v>
      </c>
      <c r="P300" s="2" t="s">
        <v>818</v>
      </c>
      <c r="Q300" s="5">
        <v>7003</v>
      </c>
      <c r="R300" s="2"/>
      <c r="T300" s="2"/>
    </row>
    <row r="301" spans="1:20" x14ac:dyDescent="0.2">
      <c r="A301" s="103"/>
      <c r="B301" s="28" t="s">
        <v>579</v>
      </c>
      <c r="C301" s="22" t="s">
        <v>818</v>
      </c>
      <c r="D301" s="2" t="s">
        <v>818</v>
      </c>
      <c r="E301" s="5">
        <v>420</v>
      </c>
      <c r="F301" s="2" t="b">
        <v>1</v>
      </c>
      <c r="G301" s="5">
        <v>43854</v>
      </c>
      <c r="H301" s="2" t="s">
        <v>818</v>
      </c>
      <c r="I301" s="5">
        <v>2909</v>
      </c>
      <c r="J301" s="2" t="b">
        <v>1</v>
      </c>
      <c r="K301" s="5">
        <v>2735</v>
      </c>
      <c r="L301" s="4" t="b">
        <v>1</v>
      </c>
      <c r="M301" s="5">
        <v>5646</v>
      </c>
      <c r="N301" s="2" t="s">
        <v>823</v>
      </c>
      <c r="O301" s="5">
        <v>595</v>
      </c>
      <c r="P301" s="2" t="s">
        <v>818</v>
      </c>
      <c r="Q301" s="5">
        <v>1918</v>
      </c>
      <c r="R301" s="2"/>
      <c r="T301" s="2"/>
    </row>
    <row r="302" spans="1:20" x14ac:dyDescent="0.2">
      <c r="A302" s="103"/>
      <c r="B302" s="28" t="s">
        <v>578</v>
      </c>
      <c r="C302" s="22" t="s">
        <v>818</v>
      </c>
      <c r="D302" s="2" t="s">
        <v>818</v>
      </c>
      <c r="E302" s="5">
        <v>426</v>
      </c>
      <c r="F302" s="2" t="b">
        <v>0</v>
      </c>
      <c r="G302" s="5">
        <v>2002</v>
      </c>
      <c r="H302" s="2" t="s">
        <v>818</v>
      </c>
      <c r="I302" s="5">
        <v>4143</v>
      </c>
      <c r="J302" s="2" t="b">
        <v>1</v>
      </c>
      <c r="K302" s="5">
        <v>2670</v>
      </c>
      <c r="L302" s="4" t="b">
        <v>1</v>
      </c>
      <c r="M302" s="5">
        <v>5676</v>
      </c>
      <c r="N302" s="2" t="s">
        <v>823</v>
      </c>
      <c r="O302" s="5">
        <v>711</v>
      </c>
      <c r="P302" s="2" t="s">
        <v>818</v>
      </c>
      <c r="Q302" s="5">
        <v>2988</v>
      </c>
      <c r="R302" s="2"/>
      <c r="T302" s="2"/>
    </row>
    <row r="303" spans="1:20" x14ac:dyDescent="0.2">
      <c r="A303" s="103"/>
      <c r="B303" s="28" t="s">
        <v>577</v>
      </c>
      <c r="C303" s="22" t="s">
        <v>818</v>
      </c>
      <c r="D303" s="2" t="s">
        <v>818</v>
      </c>
      <c r="E303" s="5">
        <v>442</v>
      </c>
      <c r="F303" s="2" t="b">
        <v>0</v>
      </c>
      <c r="G303" s="5">
        <v>2005</v>
      </c>
      <c r="H303" s="2" t="s">
        <v>818</v>
      </c>
      <c r="I303" s="5">
        <v>4214</v>
      </c>
      <c r="J303" s="2" t="b">
        <v>1</v>
      </c>
      <c r="K303" s="5">
        <v>2693</v>
      </c>
      <c r="L303" s="4" t="s">
        <v>833</v>
      </c>
      <c r="M303" s="5">
        <v>5624</v>
      </c>
      <c r="N303" s="2" t="s">
        <v>823</v>
      </c>
      <c r="O303" s="5">
        <v>640</v>
      </c>
      <c r="P303" s="2" t="s">
        <v>818</v>
      </c>
      <c r="Q303" s="5">
        <v>3552</v>
      </c>
      <c r="R303" s="2"/>
      <c r="T303" s="2"/>
    </row>
    <row r="304" spans="1:20" x14ac:dyDescent="0.2">
      <c r="A304" s="103"/>
      <c r="B304" s="28" t="s">
        <v>576</v>
      </c>
      <c r="C304" s="22" t="s">
        <v>818</v>
      </c>
      <c r="D304" s="2" t="s">
        <v>818</v>
      </c>
      <c r="E304" s="5">
        <v>617</v>
      </c>
      <c r="F304" s="2" t="b">
        <v>1</v>
      </c>
      <c r="G304" s="5">
        <v>182867</v>
      </c>
      <c r="H304" s="2" t="s">
        <v>818</v>
      </c>
      <c r="I304" s="5">
        <v>6653</v>
      </c>
      <c r="J304" s="2" t="b">
        <v>1</v>
      </c>
      <c r="K304" s="5">
        <v>2833</v>
      </c>
      <c r="L304" s="4" t="s">
        <v>837</v>
      </c>
      <c r="M304" s="5">
        <v>911828</v>
      </c>
      <c r="N304" s="2" t="s">
        <v>823</v>
      </c>
      <c r="O304" s="5">
        <v>463</v>
      </c>
      <c r="P304" s="2" t="s">
        <v>818</v>
      </c>
      <c r="Q304" s="5">
        <v>8040</v>
      </c>
      <c r="R304" s="2"/>
      <c r="T304" s="2"/>
    </row>
    <row r="305" spans="1:20" x14ac:dyDescent="0.2">
      <c r="A305" s="103"/>
      <c r="B305" s="28" t="s">
        <v>575</v>
      </c>
      <c r="C305" s="22" t="s">
        <v>820</v>
      </c>
      <c r="D305" s="2" t="s">
        <v>820</v>
      </c>
      <c r="E305" s="5">
        <v>542</v>
      </c>
      <c r="F305" s="2" t="s">
        <v>883</v>
      </c>
      <c r="G305" s="5">
        <v>301789</v>
      </c>
      <c r="H305" s="76" t="s">
        <v>820</v>
      </c>
      <c r="I305" s="5">
        <v>901163</v>
      </c>
      <c r="J305" s="2" t="b">
        <v>0</v>
      </c>
      <c r="K305" s="5">
        <v>2533</v>
      </c>
      <c r="L305" s="4" t="s">
        <v>833</v>
      </c>
      <c r="M305" s="5">
        <v>901081</v>
      </c>
      <c r="N305" s="2" t="s">
        <v>823</v>
      </c>
      <c r="O305" s="5">
        <v>470</v>
      </c>
      <c r="P305" s="2" t="s">
        <v>838</v>
      </c>
      <c r="Q305" s="5">
        <v>287462</v>
      </c>
      <c r="R305" s="2"/>
      <c r="T305" s="2"/>
    </row>
    <row r="306" spans="1:20" x14ac:dyDescent="0.2">
      <c r="A306" s="103"/>
      <c r="B306" s="28" t="s">
        <v>574</v>
      </c>
      <c r="C306" s="22" t="s">
        <v>820</v>
      </c>
      <c r="D306" s="2" t="s">
        <v>820</v>
      </c>
      <c r="E306" s="5">
        <v>416</v>
      </c>
      <c r="F306" s="2" t="b">
        <v>0</v>
      </c>
      <c r="G306" s="5">
        <v>1998</v>
      </c>
      <c r="H306" s="75" t="s">
        <v>820</v>
      </c>
      <c r="I306" s="5">
        <v>6744</v>
      </c>
      <c r="J306" s="2" t="b">
        <v>0</v>
      </c>
      <c r="K306" s="5">
        <v>2253</v>
      </c>
      <c r="L306" s="4" t="s">
        <v>833</v>
      </c>
      <c r="M306" s="5">
        <v>901034</v>
      </c>
      <c r="N306" s="2" t="s">
        <v>823</v>
      </c>
      <c r="O306" s="5">
        <v>1127</v>
      </c>
      <c r="P306" s="2" t="s">
        <v>820</v>
      </c>
      <c r="Q306" s="5">
        <v>2925</v>
      </c>
      <c r="R306" s="2"/>
      <c r="T306" s="2"/>
    </row>
    <row r="307" spans="1:20" x14ac:dyDescent="0.2">
      <c r="A307" s="103"/>
      <c r="B307" s="28" t="s">
        <v>573</v>
      </c>
      <c r="C307" s="22" t="s">
        <v>820</v>
      </c>
      <c r="D307" s="2" t="s">
        <v>820</v>
      </c>
      <c r="E307" s="5">
        <v>499</v>
      </c>
      <c r="F307" s="2" t="b">
        <v>0</v>
      </c>
      <c r="G307" s="5">
        <v>1994</v>
      </c>
      <c r="H307" s="75" t="s">
        <v>820</v>
      </c>
      <c r="I307" s="5">
        <v>6117</v>
      </c>
      <c r="J307" s="2" t="b">
        <v>0</v>
      </c>
      <c r="K307" s="5">
        <v>2236</v>
      </c>
      <c r="L307" s="4" t="s">
        <v>833</v>
      </c>
      <c r="M307" s="5">
        <v>901067</v>
      </c>
      <c r="N307" s="2" t="s">
        <v>823</v>
      </c>
      <c r="O307" s="5">
        <v>329</v>
      </c>
      <c r="P307" s="2" t="s">
        <v>820</v>
      </c>
      <c r="Q307" s="5">
        <v>1516</v>
      </c>
      <c r="R307" s="2"/>
      <c r="T307" s="2"/>
    </row>
    <row r="308" spans="1:20" x14ac:dyDescent="0.2">
      <c r="A308" s="103"/>
      <c r="B308" s="28" t="s">
        <v>572</v>
      </c>
      <c r="C308" s="81" t="s">
        <v>818</v>
      </c>
      <c r="D308" s="2" t="s">
        <v>837</v>
      </c>
      <c r="E308" s="5">
        <v>900438</v>
      </c>
      <c r="F308" s="2" t="b">
        <v>1</v>
      </c>
      <c r="G308" s="5">
        <v>182905</v>
      </c>
      <c r="H308" s="2" t="s">
        <v>838</v>
      </c>
      <c r="I308" s="5">
        <v>17716</v>
      </c>
      <c r="J308" s="2" t="s">
        <v>833</v>
      </c>
      <c r="K308" s="5">
        <v>61255</v>
      </c>
      <c r="L308" s="4" t="s">
        <v>833</v>
      </c>
      <c r="M308" s="5">
        <v>6055</v>
      </c>
      <c r="N308" s="2" t="s">
        <v>823</v>
      </c>
      <c r="O308" s="5">
        <v>1434</v>
      </c>
      <c r="P308" s="64" t="s">
        <v>837</v>
      </c>
      <c r="Q308" s="5">
        <v>910090</v>
      </c>
      <c r="R308" s="2"/>
      <c r="T308" s="2"/>
    </row>
    <row r="309" spans="1:20" x14ac:dyDescent="0.2">
      <c r="A309" s="103"/>
      <c r="B309" s="28" t="s">
        <v>571</v>
      </c>
      <c r="C309" s="22" t="s">
        <v>818</v>
      </c>
      <c r="D309" s="2" t="s">
        <v>818</v>
      </c>
      <c r="E309" s="5">
        <v>478</v>
      </c>
      <c r="F309" s="2" t="b">
        <v>1</v>
      </c>
      <c r="G309" s="5">
        <v>45051</v>
      </c>
      <c r="H309" s="2" t="s">
        <v>818</v>
      </c>
      <c r="I309" s="5">
        <v>5392</v>
      </c>
      <c r="J309" s="2" t="b">
        <v>1</v>
      </c>
      <c r="K309" s="5">
        <v>2803</v>
      </c>
      <c r="L309" s="4" t="s">
        <v>833</v>
      </c>
      <c r="M309" s="5">
        <v>6276</v>
      </c>
      <c r="N309" s="2" t="s">
        <v>823</v>
      </c>
      <c r="O309" s="5">
        <v>523</v>
      </c>
      <c r="P309" s="2" t="s">
        <v>818</v>
      </c>
      <c r="Q309" s="5">
        <v>2734</v>
      </c>
      <c r="R309" s="2"/>
      <c r="T309" s="2"/>
    </row>
    <row r="310" spans="1:20" x14ac:dyDescent="0.2">
      <c r="A310" s="103"/>
      <c r="B310" s="28" t="s">
        <v>570</v>
      </c>
      <c r="C310" s="22" t="s">
        <v>818</v>
      </c>
      <c r="D310" s="2" t="s">
        <v>818</v>
      </c>
      <c r="E310" s="5">
        <v>717</v>
      </c>
      <c r="F310" s="2" t="b">
        <v>1</v>
      </c>
      <c r="G310" s="5">
        <v>183597</v>
      </c>
      <c r="H310" s="2" t="s">
        <v>818</v>
      </c>
      <c r="I310" s="5">
        <v>6436</v>
      </c>
      <c r="J310" s="2" t="b">
        <v>1</v>
      </c>
      <c r="K310" s="5">
        <v>2788</v>
      </c>
      <c r="L310" s="4" t="b">
        <v>1</v>
      </c>
      <c r="M310" s="5">
        <v>19747</v>
      </c>
      <c r="N310" s="2" t="s">
        <v>823</v>
      </c>
      <c r="O310" s="5">
        <v>545</v>
      </c>
      <c r="P310" s="2" t="s">
        <v>818</v>
      </c>
      <c r="Q310" s="5">
        <v>5351</v>
      </c>
      <c r="R310" s="2"/>
      <c r="T310" s="2"/>
    </row>
    <row r="311" spans="1:20" x14ac:dyDescent="0.2">
      <c r="A311" s="103"/>
      <c r="B311" s="28" t="s">
        <v>569</v>
      </c>
      <c r="C311" s="22" t="s">
        <v>818</v>
      </c>
      <c r="D311" s="2" t="s">
        <v>818</v>
      </c>
      <c r="E311" s="5">
        <v>3724</v>
      </c>
      <c r="F311" s="2" t="b">
        <v>0</v>
      </c>
      <c r="G311" s="5">
        <v>2674</v>
      </c>
      <c r="H311" s="2" t="s">
        <v>818</v>
      </c>
      <c r="I311" s="5">
        <v>25276</v>
      </c>
      <c r="J311" s="2" t="b">
        <v>1</v>
      </c>
      <c r="K311" s="5">
        <v>2836</v>
      </c>
      <c r="L311" s="4" t="b">
        <v>1</v>
      </c>
      <c r="M311" s="5">
        <v>9887</v>
      </c>
      <c r="N311" s="2" t="s">
        <v>823</v>
      </c>
      <c r="O311" s="5">
        <v>669</v>
      </c>
      <c r="P311" s="2" t="s">
        <v>818</v>
      </c>
      <c r="Q311" s="5">
        <v>22095</v>
      </c>
      <c r="R311" s="2"/>
      <c r="T311" s="2"/>
    </row>
    <row r="312" spans="1:20" x14ac:dyDescent="0.2">
      <c r="A312" s="103"/>
      <c r="B312" s="28" t="s">
        <v>568</v>
      </c>
      <c r="C312" s="22" t="s">
        <v>818</v>
      </c>
      <c r="D312" s="2" t="s">
        <v>818</v>
      </c>
      <c r="E312" s="5">
        <v>446</v>
      </c>
      <c r="F312" s="2" t="b">
        <v>1</v>
      </c>
      <c r="G312" s="5">
        <v>182291</v>
      </c>
      <c r="H312" s="2" t="s">
        <v>818</v>
      </c>
      <c r="I312" s="5">
        <v>5174</v>
      </c>
      <c r="J312" s="2" t="b">
        <v>1</v>
      </c>
      <c r="K312" s="5">
        <v>2775</v>
      </c>
      <c r="L312" s="4" t="b">
        <v>1</v>
      </c>
      <c r="M312" s="5">
        <v>6376</v>
      </c>
      <c r="N312" s="2" t="s">
        <v>876</v>
      </c>
      <c r="O312" s="5">
        <v>323</v>
      </c>
      <c r="P312" s="2" t="s">
        <v>818</v>
      </c>
      <c r="Q312" s="5">
        <v>1978</v>
      </c>
      <c r="R312" s="2"/>
      <c r="T312" s="2"/>
    </row>
    <row r="313" spans="1:20" x14ac:dyDescent="0.2">
      <c r="A313" s="103"/>
      <c r="B313" s="28" t="s">
        <v>567</v>
      </c>
      <c r="C313" s="61" t="s">
        <v>820</v>
      </c>
      <c r="D313" s="2" t="s">
        <v>837</v>
      </c>
      <c r="E313" s="5">
        <v>900425</v>
      </c>
      <c r="F313" s="2" t="b">
        <v>1</v>
      </c>
      <c r="G313" s="5">
        <v>182316</v>
      </c>
      <c r="H313" s="2" t="s">
        <v>819</v>
      </c>
      <c r="I313" s="5">
        <v>9576</v>
      </c>
      <c r="J313" s="2" t="s">
        <v>833</v>
      </c>
      <c r="K313" s="5">
        <v>269764</v>
      </c>
      <c r="L313" s="4" t="s">
        <v>833</v>
      </c>
      <c r="M313" s="5">
        <v>6041</v>
      </c>
      <c r="N313" s="2" t="s">
        <v>823</v>
      </c>
      <c r="O313" s="5">
        <v>1804</v>
      </c>
      <c r="P313" s="64" t="s">
        <v>837</v>
      </c>
      <c r="Q313" s="5">
        <v>910079</v>
      </c>
      <c r="R313" s="2"/>
      <c r="T313" s="2"/>
    </row>
    <row r="314" spans="1:20" x14ac:dyDescent="0.2">
      <c r="A314" s="103"/>
      <c r="B314" s="28" t="s">
        <v>566</v>
      </c>
      <c r="C314" s="22" t="s">
        <v>820</v>
      </c>
      <c r="D314" s="2" t="s">
        <v>820</v>
      </c>
      <c r="E314" s="5">
        <v>454</v>
      </c>
      <c r="F314" s="2" t="b">
        <v>0</v>
      </c>
      <c r="G314" s="5">
        <v>1983</v>
      </c>
      <c r="H314" s="75" t="s">
        <v>820</v>
      </c>
      <c r="I314" s="5">
        <v>6587</v>
      </c>
      <c r="J314" s="2" t="b">
        <v>0</v>
      </c>
      <c r="K314" s="5">
        <v>2268</v>
      </c>
      <c r="L314" s="4" t="s">
        <v>833</v>
      </c>
      <c r="M314" s="5">
        <v>901060</v>
      </c>
      <c r="N314" s="2" t="s">
        <v>823</v>
      </c>
      <c r="O314" s="5">
        <v>2226</v>
      </c>
      <c r="P314" s="2" t="s">
        <v>820</v>
      </c>
      <c r="Q314" s="5">
        <v>2102</v>
      </c>
      <c r="R314" s="2"/>
      <c r="T314" s="2"/>
    </row>
    <row r="315" spans="1:20" x14ac:dyDescent="0.2">
      <c r="A315" s="103"/>
      <c r="B315" s="28" t="s">
        <v>565</v>
      </c>
      <c r="C315" s="22" t="s">
        <v>818</v>
      </c>
      <c r="D315" s="2" t="s">
        <v>818</v>
      </c>
      <c r="E315" s="5">
        <v>430</v>
      </c>
      <c r="F315" s="2" t="b">
        <v>1</v>
      </c>
      <c r="G315" s="5">
        <v>182287</v>
      </c>
      <c r="H315" s="64" t="s">
        <v>837</v>
      </c>
      <c r="I315" s="5">
        <v>910038</v>
      </c>
      <c r="J315" s="2" t="b">
        <v>1</v>
      </c>
      <c r="K315" s="5">
        <v>2867</v>
      </c>
      <c r="L315" s="4" t="b">
        <v>1</v>
      </c>
      <c r="M315" s="5">
        <v>6082</v>
      </c>
      <c r="N315" s="2" t="s">
        <v>823</v>
      </c>
      <c r="O315" s="5">
        <v>617</v>
      </c>
      <c r="P315" s="2" t="s">
        <v>818</v>
      </c>
      <c r="Q315" s="5">
        <v>1478</v>
      </c>
      <c r="R315" s="2"/>
      <c r="T315" s="2"/>
    </row>
    <row r="316" spans="1:20" x14ac:dyDescent="0.2">
      <c r="A316" s="103"/>
      <c r="B316" s="28" t="s">
        <v>564</v>
      </c>
      <c r="C316" s="22" t="s">
        <v>820</v>
      </c>
      <c r="D316" s="2" t="s">
        <v>820</v>
      </c>
      <c r="E316" s="5">
        <v>445</v>
      </c>
      <c r="F316" s="2" t="b">
        <v>0</v>
      </c>
      <c r="G316" s="5">
        <v>2039</v>
      </c>
      <c r="H316" s="75" t="s">
        <v>820</v>
      </c>
      <c r="I316" s="5">
        <v>6845</v>
      </c>
      <c r="J316" s="2" t="b">
        <v>0</v>
      </c>
      <c r="K316" s="5">
        <v>2222</v>
      </c>
      <c r="L316" s="4" t="s">
        <v>833</v>
      </c>
      <c r="M316" s="5">
        <v>901048</v>
      </c>
      <c r="N316" s="2" t="s">
        <v>823</v>
      </c>
      <c r="O316" s="5">
        <v>328</v>
      </c>
      <c r="P316" s="2" t="s">
        <v>820</v>
      </c>
      <c r="Q316" s="5">
        <v>69967</v>
      </c>
      <c r="R316" s="2"/>
      <c r="T316" s="2"/>
    </row>
    <row r="317" spans="1:20" x14ac:dyDescent="0.2">
      <c r="A317" s="103"/>
      <c r="B317" s="28" t="s">
        <v>563</v>
      </c>
      <c r="C317" s="22" t="s">
        <v>820</v>
      </c>
      <c r="D317" s="2" t="s">
        <v>820</v>
      </c>
      <c r="E317" s="5">
        <v>422</v>
      </c>
      <c r="F317" s="2" t="b">
        <v>0</v>
      </c>
      <c r="G317" s="5">
        <v>1972</v>
      </c>
      <c r="H317" s="75" t="s">
        <v>820</v>
      </c>
      <c r="I317" s="5">
        <v>5352</v>
      </c>
      <c r="J317" s="2" t="b">
        <v>0</v>
      </c>
      <c r="K317" s="5">
        <v>2218</v>
      </c>
      <c r="L317" s="4" t="s">
        <v>833</v>
      </c>
      <c r="M317" s="5">
        <v>901047</v>
      </c>
      <c r="N317" s="2" t="s">
        <v>823</v>
      </c>
      <c r="O317" s="5">
        <v>379</v>
      </c>
      <c r="P317" s="2" t="s">
        <v>820</v>
      </c>
      <c r="Q317" s="5">
        <v>2336</v>
      </c>
      <c r="R317" s="2"/>
      <c r="T317" s="2"/>
    </row>
    <row r="318" spans="1:20" x14ac:dyDescent="0.2">
      <c r="A318" s="103"/>
      <c r="B318" s="28" t="s">
        <v>562</v>
      </c>
      <c r="C318" s="22" t="s">
        <v>818</v>
      </c>
      <c r="D318" s="2" t="s">
        <v>818</v>
      </c>
      <c r="E318" s="5">
        <v>431</v>
      </c>
      <c r="F318" s="2" t="b">
        <v>1</v>
      </c>
      <c r="G318" s="5">
        <v>182263</v>
      </c>
      <c r="H318" s="2" t="s">
        <v>818</v>
      </c>
      <c r="I318" s="5">
        <v>4216</v>
      </c>
      <c r="J318" s="2" t="b">
        <v>1</v>
      </c>
      <c r="K318" s="5">
        <v>2759</v>
      </c>
      <c r="L318" s="4" t="b">
        <v>1</v>
      </c>
      <c r="M318" s="5">
        <v>5844</v>
      </c>
      <c r="N318" s="2" t="s">
        <v>823</v>
      </c>
      <c r="O318" s="5">
        <v>587</v>
      </c>
      <c r="P318" s="2" t="s">
        <v>818</v>
      </c>
      <c r="Q318" s="5">
        <v>1798</v>
      </c>
      <c r="R318" s="2"/>
      <c r="T318" s="2"/>
    </row>
    <row r="319" spans="1:20" x14ac:dyDescent="0.2">
      <c r="A319" s="103"/>
      <c r="B319" s="28" t="s">
        <v>561</v>
      </c>
      <c r="C319" s="22" t="s">
        <v>820</v>
      </c>
      <c r="D319" s="2" t="s">
        <v>820</v>
      </c>
      <c r="E319" s="5">
        <v>430</v>
      </c>
      <c r="F319" s="2" t="s">
        <v>883</v>
      </c>
      <c r="G319" s="5">
        <v>301818</v>
      </c>
      <c r="H319" s="76" t="s">
        <v>820</v>
      </c>
      <c r="I319" s="5">
        <v>910034</v>
      </c>
      <c r="J319" s="2" t="b">
        <v>0</v>
      </c>
      <c r="K319" s="5">
        <v>2604</v>
      </c>
      <c r="L319" s="4" t="s">
        <v>833</v>
      </c>
      <c r="M319" s="5">
        <v>901051</v>
      </c>
      <c r="N319" s="2" t="s">
        <v>823</v>
      </c>
      <c r="O319" s="5">
        <v>544</v>
      </c>
      <c r="P319" s="2" t="s">
        <v>820</v>
      </c>
      <c r="Q319" s="5">
        <v>2085</v>
      </c>
      <c r="R319" s="2"/>
      <c r="T319" s="2"/>
    </row>
    <row r="320" spans="1:20" x14ac:dyDescent="0.2">
      <c r="A320" s="103"/>
      <c r="B320" s="28" t="s">
        <v>560</v>
      </c>
      <c r="C320" s="22" t="s">
        <v>818</v>
      </c>
      <c r="D320" s="2" t="s">
        <v>818</v>
      </c>
      <c r="E320" s="5">
        <v>843</v>
      </c>
      <c r="F320" s="2" t="b">
        <v>1</v>
      </c>
      <c r="G320" s="5">
        <v>182306</v>
      </c>
      <c r="H320" s="2" t="s">
        <v>818</v>
      </c>
      <c r="I320" s="5">
        <v>6443</v>
      </c>
      <c r="J320" s="2" t="b">
        <v>1</v>
      </c>
      <c r="K320" s="5">
        <v>2801</v>
      </c>
      <c r="L320" s="4" t="b">
        <v>1</v>
      </c>
      <c r="M320" s="5">
        <v>6513</v>
      </c>
      <c r="N320" s="2" t="s">
        <v>823</v>
      </c>
      <c r="O320" s="5">
        <v>1697</v>
      </c>
      <c r="P320" s="2" t="s">
        <v>818</v>
      </c>
      <c r="Q320" s="5">
        <v>121529</v>
      </c>
      <c r="R320" s="2"/>
      <c r="T320" s="2"/>
    </row>
    <row r="321" spans="1:20" x14ac:dyDescent="0.2">
      <c r="A321" s="103"/>
      <c r="B321" s="28" t="s">
        <v>559</v>
      </c>
      <c r="C321" s="22" t="s">
        <v>818</v>
      </c>
      <c r="D321" s="2" t="s">
        <v>818</v>
      </c>
      <c r="E321" s="5">
        <v>543</v>
      </c>
      <c r="F321" s="2" t="b">
        <v>1</v>
      </c>
      <c r="G321" s="5">
        <v>182336</v>
      </c>
      <c r="H321" s="2" t="s">
        <v>818</v>
      </c>
      <c r="I321" s="5">
        <v>5415</v>
      </c>
      <c r="J321" s="2" t="b">
        <v>1</v>
      </c>
      <c r="K321" s="5">
        <v>2818</v>
      </c>
      <c r="L321" s="4" t="b">
        <v>1</v>
      </c>
      <c r="M321" s="5">
        <v>6030</v>
      </c>
      <c r="N321" s="2" t="s">
        <v>823</v>
      </c>
      <c r="O321" s="5">
        <v>581</v>
      </c>
      <c r="P321" s="2" t="s">
        <v>818</v>
      </c>
      <c r="Q321" s="5">
        <v>3742</v>
      </c>
      <c r="R321" s="2"/>
      <c r="T321" s="2"/>
    </row>
    <row r="322" spans="1:20" x14ac:dyDescent="0.2">
      <c r="A322" s="103"/>
      <c r="B322" s="28" t="s">
        <v>558</v>
      </c>
      <c r="C322" s="22" t="s">
        <v>818</v>
      </c>
      <c r="D322" s="2" t="s">
        <v>818</v>
      </c>
      <c r="E322" s="5">
        <v>446</v>
      </c>
      <c r="F322" s="2" t="b">
        <v>1</v>
      </c>
      <c r="G322" s="5">
        <v>182296</v>
      </c>
      <c r="H322" s="2" t="s">
        <v>818</v>
      </c>
      <c r="I322" s="5">
        <v>5000</v>
      </c>
      <c r="J322" s="2" t="b">
        <v>1</v>
      </c>
      <c r="K322" s="5">
        <v>2782</v>
      </c>
      <c r="L322" s="4" t="b">
        <v>1</v>
      </c>
      <c r="M322" s="5">
        <v>5811</v>
      </c>
      <c r="N322" s="2" t="s">
        <v>876</v>
      </c>
      <c r="O322" s="5">
        <v>324</v>
      </c>
      <c r="P322" s="2" t="s">
        <v>818</v>
      </c>
      <c r="Q322" s="5">
        <v>6483</v>
      </c>
      <c r="R322" s="2"/>
      <c r="T322" s="2"/>
    </row>
    <row r="323" spans="1:20" x14ac:dyDescent="0.2">
      <c r="A323" s="103"/>
      <c r="B323" s="28" t="s">
        <v>557</v>
      </c>
      <c r="C323" s="22" t="s">
        <v>818</v>
      </c>
      <c r="D323" s="2" t="s">
        <v>818</v>
      </c>
      <c r="E323" s="5">
        <v>552</v>
      </c>
      <c r="F323" s="2" t="b">
        <v>1</v>
      </c>
      <c r="G323" s="5">
        <v>182876</v>
      </c>
      <c r="H323" s="2" t="s">
        <v>818</v>
      </c>
      <c r="I323" s="5">
        <v>5265</v>
      </c>
      <c r="J323" s="2" t="b">
        <v>1</v>
      </c>
      <c r="K323" s="5">
        <v>2616</v>
      </c>
      <c r="L323" s="4" t="b">
        <v>1</v>
      </c>
      <c r="M323" s="5">
        <v>5870</v>
      </c>
      <c r="N323" s="2" t="s">
        <v>876</v>
      </c>
      <c r="O323" s="5">
        <v>344</v>
      </c>
      <c r="P323" s="2" t="s">
        <v>818</v>
      </c>
      <c r="Q323" s="5">
        <v>4038</v>
      </c>
      <c r="R323" s="2"/>
      <c r="T323" s="2"/>
    </row>
    <row r="324" spans="1:20" x14ac:dyDescent="0.2">
      <c r="A324" s="103"/>
      <c r="B324" s="28" t="s">
        <v>556</v>
      </c>
      <c r="C324" s="22" t="s">
        <v>818</v>
      </c>
      <c r="D324" s="2" t="s">
        <v>818</v>
      </c>
      <c r="E324" s="5">
        <v>423</v>
      </c>
      <c r="F324" s="2" t="b">
        <v>1</v>
      </c>
      <c r="G324" s="5">
        <v>37649</v>
      </c>
      <c r="H324" s="2" t="s">
        <v>818</v>
      </c>
      <c r="I324" s="5">
        <v>4696</v>
      </c>
      <c r="J324" s="2" t="b">
        <v>1</v>
      </c>
      <c r="K324" s="5">
        <v>2838</v>
      </c>
      <c r="L324" s="4" t="s">
        <v>833</v>
      </c>
      <c r="M324" s="5">
        <v>5836</v>
      </c>
      <c r="N324" s="2" t="s">
        <v>876</v>
      </c>
      <c r="O324" s="5">
        <v>529</v>
      </c>
      <c r="P324" s="2" t="s">
        <v>818</v>
      </c>
      <c r="Q324" s="5">
        <v>2220</v>
      </c>
      <c r="R324" s="2"/>
      <c r="T324" s="2"/>
    </row>
    <row r="325" spans="1:20" x14ac:dyDescent="0.2">
      <c r="A325" s="103"/>
      <c r="B325" s="28" t="s">
        <v>555</v>
      </c>
      <c r="C325" s="22" t="s">
        <v>818</v>
      </c>
      <c r="D325" s="2" t="s">
        <v>818</v>
      </c>
      <c r="E325" s="5">
        <v>403</v>
      </c>
      <c r="F325" s="2" t="b">
        <v>1</v>
      </c>
      <c r="G325" s="5">
        <v>182900</v>
      </c>
      <c r="H325" s="2" t="s">
        <v>818</v>
      </c>
      <c r="I325" s="5">
        <v>4361</v>
      </c>
      <c r="J325" s="2" t="b">
        <v>1</v>
      </c>
      <c r="K325" s="5">
        <v>2962</v>
      </c>
      <c r="L325" s="4" t="b">
        <v>1</v>
      </c>
      <c r="M325" s="5">
        <v>6011</v>
      </c>
      <c r="N325" s="2" t="s">
        <v>876</v>
      </c>
      <c r="O325" s="5">
        <v>352</v>
      </c>
      <c r="P325" s="2" t="s">
        <v>818</v>
      </c>
      <c r="Q325" s="5">
        <v>2280</v>
      </c>
      <c r="R325" s="2"/>
      <c r="T325" s="2"/>
    </row>
    <row r="326" spans="1:20" x14ac:dyDescent="0.2">
      <c r="A326" s="103"/>
      <c r="B326" s="28" t="s">
        <v>554</v>
      </c>
      <c r="C326" s="22" t="s">
        <v>820</v>
      </c>
      <c r="D326" s="2" t="s">
        <v>820</v>
      </c>
      <c r="E326" s="5">
        <v>433</v>
      </c>
      <c r="F326" s="2" t="b">
        <v>0</v>
      </c>
      <c r="G326" s="5">
        <v>2008</v>
      </c>
      <c r="H326" s="75" t="s">
        <v>820</v>
      </c>
      <c r="I326" s="5">
        <v>6188</v>
      </c>
      <c r="J326" s="2" t="b">
        <v>0</v>
      </c>
      <c r="K326" s="5">
        <v>2272</v>
      </c>
      <c r="L326" s="4" t="s">
        <v>833</v>
      </c>
      <c r="M326" s="5">
        <v>901123</v>
      </c>
      <c r="N326" s="2" t="s">
        <v>823</v>
      </c>
      <c r="O326" s="5">
        <v>640</v>
      </c>
      <c r="P326" s="2" t="s">
        <v>820</v>
      </c>
      <c r="Q326" s="5">
        <v>1579</v>
      </c>
      <c r="R326" s="2"/>
      <c r="T326" s="2"/>
    </row>
    <row r="327" spans="1:20" x14ac:dyDescent="0.2">
      <c r="A327" s="103"/>
      <c r="B327" s="28" t="s">
        <v>553</v>
      </c>
      <c r="C327" s="22" t="s">
        <v>818</v>
      </c>
      <c r="D327" s="2" t="s">
        <v>818</v>
      </c>
      <c r="E327" s="5">
        <v>6903</v>
      </c>
      <c r="F327" s="2" t="b">
        <v>1</v>
      </c>
      <c r="G327" s="5">
        <v>183723</v>
      </c>
      <c r="H327" s="2" t="s">
        <v>818</v>
      </c>
      <c r="I327" s="5">
        <v>10657</v>
      </c>
      <c r="J327" s="2" t="b">
        <v>1</v>
      </c>
      <c r="K327" s="5">
        <v>2680</v>
      </c>
      <c r="L327" s="4" t="b">
        <v>1</v>
      </c>
      <c r="M327" s="5">
        <v>639807</v>
      </c>
      <c r="N327" s="2" t="s">
        <v>823</v>
      </c>
      <c r="O327" s="5">
        <v>1121</v>
      </c>
      <c r="P327" s="2" t="s">
        <v>818</v>
      </c>
      <c r="Q327" s="5">
        <v>81653</v>
      </c>
      <c r="R327" s="2"/>
      <c r="T327" s="2"/>
    </row>
    <row r="328" spans="1:20" x14ac:dyDescent="0.2">
      <c r="A328" s="103"/>
      <c r="B328" s="28" t="s">
        <v>552</v>
      </c>
      <c r="C328" s="22" t="s">
        <v>818</v>
      </c>
      <c r="D328" s="2" t="s">
        <v>818</v>
      </c>
      <c r="E328" s="5">
        <v>424</v>
      </c>
      <c r="F328" s="2" t="b">
        <v>1</v>
      </c>
      <c r="G328" s="5">
        <v>36220</v>
      </c>
      <c r="H328" s="2" t="s">
        <v>818</v>
      </c>
      <c r="I328" s="5">
        <v>7814</v>
      </c>
      <c r="J328" s="2" t="b">
        <v>1</v>
      </c>
      <c r="K328" s="5">
        <v>3021</v>
      </c>
      <c r="L328" s="4" t="b">
        <v>1</v>
      </c>
      <c r="M328" s="5">
        <v>9192</v>
      </c>
      <c r="N328" s="2" t="s">
        <v>823</v>
      </c>
      <c r="O328" s="5">
        <v>497</v>
      </c>
      <c r="P328" s="2" t="s">
        <v>818</v>
      </c>
      <c r="Q328" s="5">
        <v>3009</v>
      </c>
      <c r="R328" s="2"/>
      <c r="T328" s="2"/>
    </row>
    <row r="329" spans="1:20" x14ac:dyDescent="0.2">
      <c r="A329" s="103"/>
      <c r="B329" s="28" t="s">
        <v>551</v>
      </c>
      <c r="C329" s="22" t="s">
        <v>818</v>
      </c>
      <c r="D329" s="2" t="s">
        <v>818</v>
      </c>
      <c r="E329" s="5">
        <v>514</v>
      </c>
      <c r="F329" s="2" t="b">
        <v>1</v>
      </c>
      <c r="G329" s="5">
        <v>182307</v>
      </c>
      <c r="H329" s="2" t="s">
        <v>818</v>
      </c>
      <c r="I329" s="5">
        <v>7162</v>
      </c>
      <c r="J329" s="2" t="b">
        <v>1</v>
      </c>
      <c r="K329" s="5">
        <v>2816</v>
      </c>
      <c r="L329" s="4" t="b">
        <v>1</v>
      </c>
      <c r="M329" s="5">
        <v>6828</v>
      </c>
      <c r="N329" s="2" t="s">
        <v>823</v>
      </c>
      <c r="O329" s="5">
        <v>495</v>
      </c>
      <c r="P329" s="2" t="s">
        <v>818</v>
      </c>
      <c r="Q329" s="5">
        <v>37640</v>
      </c>
      <c r="R329" s="2"/>
      <c r="T329" s="2"/>
    </row>
    <row r="330" spans="1:20" x14ac:dyDescent="0.2">
      <c r="A330" s="103"/>
      <c r="B330" s="28" t="s">
        <v>550</v>
      </c>
      <c r="C330" s="22" t="s">
        <v>820</v>
      </c>
      <c r="D330" s="2" t="s">
        <v>820</v>
      </c>
      <c r="E330" s="5">
        <v>528</v>
      </c>
      <c r="F330" s="2" t="s">
        <v>883</v>
      </c>
      <c r="G330" s="5">
        <v>301806</v>
      </c>
      <c r="H330" s="76" t="s">
        <v>820</v>
      </c>
      <c r="I330" s="5">
        <v>194028</v>
      </c>
      <c r="J330" s="2" t="b">
        <v>0</v>
      </c>
      <c r="K330" s="5">
        <v>2630</v>
      </c>
      <c r="L330" s="4" t="s">
        <v>833</v>
      </c>
      <c r="M330" s="5">
        <v>901097</v>
      </c>
      <c r="N330" s="2" t="s">
        <v>823</v>
      </c>
      <c r="O330" s="5">
        <v>1549</v>
      </c>
      <c r="P330" s="2" t="s">
        <v>820</v>
      </c>
      <c r="Q330" s="5">
        <v>5352</v>
      </c>
      <c r="R330" s="2"/>
      <c r="T330" s="2"/>
    </row>
    <row r="331" spans="1:20" x14ac:dyDescent="0.2">
      <c r="A331" s="103"/>
      <c r="B331" s="28" t="s">
        <v>549</v>
      </c>
      <c r="C331" s="22" t="s">
        <v>818</v>
      </c>
      <c r="D331" s="2" t="s">
        <v>818</v>
      </c>
      <c r="E331" s="5">
        <v>624</v>
      </c>
      <c r="F331" s="2" t="b">
        <v>1</v>
      </c>
      <c r="G331" s="5">
        <v>183517</v>
      </c>
      <c r="H331" s="2" t="s">
        <v>818</v>
      </c>
      <c r="I331" s="5">
        <v>6872</v>
      </c>
      <c r="J331" s="2" t="b">
        <v>1</v>
      </c>
      <c r="K331" s="5">
        <v>2942</v>
      </c>
      <c r="L331" s="4" t="b">
        <v>1</v>
      </c>
      <c r="M331" s="5">
        <v>7016</v>
      </c>
      <c r="N331" s="2" t="s">
        <v>876</v>
      </c>
      <c r="O331" s="5">
        <v>90759</v>
      </c>
      <c r="P331" s="2" t="s">
        <v>818</v>
      </c>
      <c r="Q331" s="5">
        <v>3907</v>
      </c>
      <c r="R331" s="2"/>
      <c r="T331" s="2"/>
    </row>
    <row r="332" spans="1:20" x14ac:dyDescent="0.2">
      <c r="A332" s="103"/>
      <c r="B332" s="28" t="s">
        <v>548</v>
      </c>
      <c r="C332" s="22" t="s">
        <v>818</v>
      </c>
      <c r="D332" s="2" t="s">
        <v>818</v>
      </c>
      <c r="E332" s="5">
        <v>404</v>
      </c>
      <c r="F332" s="2" t="b">
        <v>1</v>
      </c>
      <c r="G332" s="5">
        <v>182361</v>
      </c>
      <c r="H332" s="2" t="s">
        <v>818</v>
      </c>
      <c r="I332" s="5">
        <v>6780</v>
      </c>
      <c r="J332" s="2" t="b">
        <v>1</v>
      </c>
      <c r="K332" s="5">
        <v>3028</v>
      </c>
      <c r="L332" s="4" t="b">
        <v>1</v>
      </c>
      <c r="M332" s="5">
        <v>6280</v>
      </c>
      <c r="N332" s="2" t="s">
        <v>823</v>
      </c>
      <c r="O332" s="5">
        <v>1882</v>
      </c>
      <c r="P332" s="2" t="s">
        <v>818</v>
      </c>
      <c r="Q332" s="5">
        <v>1730</v>
      </c>
      <c r="R332" s="2"/>
      <c r="T332" s="2"/>
    </row>
    <row r="333" spans="1:20" x14ac:dyDescent="0.2">
      <c r="A333" s="103"/>
      <c r="B333" s="28" t="s">
        <v>547</v>
      </c>
      <c r="C333" s="22" t="s">
        <v>818</v>
      </c>
      <c r="D333" s="2" t="s">
        <v>818</v>
      </c>
      <c r="E333" s="5">
        <v>608</v>
      </c>
      <c r="F333" s="2" t="b">
        <v>0</v>
      </c>
      <c r="G333" s="5">
        <v>2032</v>
      </c>
      <c r="H333" s="2" t="s">
        <v>818</v>
      </c>
      <c r="I333" s="5">
        <v>5290</v>
      </c>
      <c r="J333" s="2" t="b">
        <v>1</v>
      </c>
      <c r="K333" s="5">
        <v>2734</v>
      </c>
      <c r="L333" s="4" t="s">
        <v>833</v>
      </c>
      <c r="M333" s="5">
        <v>5967</v>
      </c>
      <c r="N333" s="2" t="s">
        <v>823</v>
      </c>
      <c r="O333" s="5">
        <v>2994</v>
      </c>
      <c r="P333" s="2" t="s">
        <v>818</v>
      </c>
      <c r="Q333" s="5">
        <v>14795</v>
      </c>
      <c r="R333" s="2"/>
      <c r="T333" s="2"/>
    </row>
    <row r="334" spans="1:20" x14ac:dyDescent="0.2">
      <c r="A334" s="103"/>
      <c r="B334" s="28" t="s">
        <v>546</v>
      </c>
      <c r="C334" s="22" t="s">
        <v>818</v>
      </c>
      <c r="D334" s="2" t="s">
        <v>818</v>
      </c>
      <c r="E334" s="5">
        <v>426</v>
      </c>
      <c r="F334" s="2" t="b">
        <v>1</v>
      </c>
      <c r="G334" s="5">
        <v>182936</v>
      </c>
      <c r="H334" s="2" t="s">
        <v>818</v>
      </c>
      <c r="I334" s="5">
        <v>5776</v>
      </c>
      <c r="J334" s="2" t="b">
        <v>1</v>
      </c>
      <c r="K334" s="5">
        <v>4342</v>
      </c>
      <c r="L334" s="4" t="b">
        <v>1</v>
      </c>
      <c r="M334" s="5">
        <v>5867</v>
      </c>
      <c r="N334" s="2" t="s">
        <v>876</v>
      </c>
      <c r="O334" s="5">
        <v>710</v>
      </c>
      <c r="P334" s="2" t="s">
        <v>818</v>
      </c>
      <c r="Q334" s="5">
        <v>1983</v>
      </c>
      <c r="R334" s="2"/>
      <c r="T334" s="2"/>
    </row>
    <row r="335" spans="1:20" x14ac:dyDescent="0.2">
      <c r="A335" s="103"/>
      <c r="B335" s="28" t="s">
        <v>545</v>
      </c>
      <c r="C335" s="22" t="s">
        <v>818</v>
      </c>
      <c r="D335" s="2" t="s">
        <v>818</v>
      </c>
      <c r="E335" s="5">
        <v>625</v>
      </c>
      <c r="F335" s="2" t="b">
        <v>1</v>
      </c>
      <c r="G335" s="5">
        <v>39248</v>
      </c>
      <c r="H335" s="2" t="s">
        <v>818</v>
      </c>
      <c r="I335" s="5">
        <v>7769</v>
      </c>
      <c r="J335" s="2" t="b">
        <v>1</v>
      </c>
      <c r="K335" s="5">
        <v>3639</v>
      </c>
      <c r="L335" s="4" t="s">
        <v>833</v>
      </c>
      <c r="M335" s="5">
        <v>900956</v>
      </c>
      <c r="N335" s="2" t="s">
        <v>823</v>
      </c>
      <c r="O335" s="5">
        <v>1090</v>
      </c>
      <c r="P335" s="2" t="s">
        <v>818</v>
      </c>
      <c r="Q335" s="5">
        <v>20856</v>
      </c>
      <c r="R335" s="2"/>
      <c r="T335" s="2"/>
    </row>
    <row r="336" spans="1:20" x14ac:dyDescent="0.2">
      <c r="A336" s="103"/>
      <c r="B336" s="28" t="s">
        <v>544</v>
      </c>
      <c r="C336" s="22" t="s">
        <v>818</v>
      </c>
      <c r="D336" s="2" t="s">
        <v>818</v>
      </c>
      <c r="E336" s="5">
        <v>833</v>
      </c>
      <c r="F336" s="2" t="b">
        <v>1</v>
      </c>
      <c r="G336" s="5">
        <v>183544</v>
      </c>
      <c r="H336" s="2" t="s">
        <v>818</v>
      </c>
      <c r="I336" s="5">
        <v>5822</v>
      </c>
      <c r="J336" s="2" t="b">
        <v>1</v>
      </c>
      <c r="K336" s="5">
        <v>2964</v>
      </c>
      <c r="L336" s="4" t="b">
        <v>1</v>
      </c>
      <c r="M336" s="5">
        <v>7288</v>
      </c>
      <c r="N336" s="2" t="s">
        <v>876</v>
      </c>
      <c r="O336" s="5">
        <v>88007</v>
      </c>
      <c r="P336" s="2" t="s">
        <v>818</v>
      </c>
      <c r="Q336" s="5">
        <v>3204</v>
      </c>
      <c r="R336" s="2"/>
      <c r="T336" s="2"/>
    </row>
    <row r="337" spans="1:20" x14ac:dyDescent="0.2">
      <c r="A337" s="103"/>
      <c r="B337" s="28" t="s">
        <v>543</v>
      </c>
      <c r="C337" s="22" t="s">
        <v>820</v>
      </c>
      <c r="D337" s="2" t="s">
        <v>820</v>
      </c>
      <c r="E337" s="5">
        <v>516</v>
      </c>
      <c r="F337" s="2" t="s">
        <v>883</v>
      </c>
      <c r="G337" s="5">
        <v>97526</v>
      </c>
      <c r="H337" s="75" t="s">
        <v>820</v>
      </c>
      <c r="I337" s="5">
        <v>7097</v>
      </c>
      <c r="J337" s="2" t="b">
        <v>0</v>
      </c>
      <c r="K337" s="5">
        <v>3628</v>
      </c>
      <c r="L337" s="4" t="s">
        <v>833</v>
      </c>
      <c r="M337" s="5">
        <v>901103</v>
      </c>
      <c r="N337" s="2" t="s">
        <v>823</v>
      </c>
      <c r="O337" s="5">
        <v>406</v>
      </c>
      <c r="P337" s="2" t="s">
        <v>820</v>
      </c>
      <c r="Q337" s="5">
        <v>2023</v>
      </c>
      <c r="R337" s="2"/>
      <c r="T337" s="2"/>
    </row>
    <row r="338" spans="1:20" x14ac:dyDescent="0.2">
      <c r="A338" s="103"/>
      <c r="B338" s="28" t="s">
        <v>542</v>
      </c>
      <c r="C338" s="22" t="s">
        <v>820</v>
      </c>
      <c r="D338" s="2" t="s">
        <v>820</v>
      </c>
      <c r="E338" s="5">
        <v>420</v>
      </c>
      <c r="F338" s="2" t="b">
        <v>0</v>
      </c>
      <c r="G338" s="5">
        <v>4043</v>
      </c>
      <c r="H338" s="75" t="s">
        <v>820</v>
      </c>
      <c r="I338" s="5">
        <v>6552</v>
      </c>
      <c r="J338" s="2" t="s">
        <v>833</v>
      </c>
      <c r="K338" s="5">
        <v>34601</v>
      </c>
      <c r="L338" s="4" t="s">
        <v>833</v>
      </c>
      <c r="M338" s="5">
        <v>5896</v>
      </c>
      <c r="N338" s="2" t="s">
        <v>823</v>
      </c>
      <c r="O338" s="5">
        <v>445</v>
      </c>
      <c r="P338" s="2" t="s">
        <v>820</v>
      </c>
      <c r="Q338" s="5">
        <v>1676</v>
      </c>
      <c r="R338" s="2"/>
      <c r="T338" s="2"/>
    </row>
    <row r="339" spans="1:20" x14ac:dyDescent="0.2">
      <c r="A339" s="103"/>
      <c r="B339" s="28" t="s">
        <v>541</v>
      </c>
      <c r="C339" s="81" t="s">
        <v>819</v>
      </c>
      <c r="D339" s="2" t="s">
        <v>837</v>
      </c>
      <c r="E339" s="5">
        <v>900532</v>
      </c>
      <c r="F339" s="2" t="b">
        <v>1</v>
      </c>
      <c r="G339" s="5">
        <v>186042</v>
      </c>
      <c r="H339" s="64" t="s">
        <v>837</v>
      </c>
      <c r="I339" s="5">
        <v>910051</v>
      </c>
      <c r="J339" s="64" t="s">
        <v>833</v>
      </c>
      <c r="K339" s="5">
        <v>900321</v>
      </c>
      <c r="L339" s="4" t="s">
        <v>833</v>
      </c>
      <c r="M339" s="5">
        <v>901026</v>
      </c>
      <c r="N339" s="2" t="s">
        <v>823</v>
      </c>
      <c r="O339" s="5">
        <v>959</v>
      </c>
      <c r="P339" s="64" t="s">
        <v>837</v>
      </c>
      <c r="Q339" s="5">
        <v>910063</v>
      </c>
      <c r="R339" s="2"/>
      <c r="T339" s="2"/>
    </row>
    <row r="340" spans="1:20" x14ac:dyDescent="0.2">
      <c r="A340" s="103"/>
      <c r="B340" s="28" t="s">
        <v>540</v>
      </c>
      <c r="C340" s="22" t="s">
        <v>818</v>
      </c>
      <c r="D340" s="2" t="s">
        <v>818</v>
      </c>
      <c r="E340" s="5">
        <v>1152</v>
      </c>
      <c r="F340" s="2" t="b">
        <v>1</v>
      </c>
      <c r="G340" s="5">
        <v>182909</v>
      </c>
      <c r="H340" s="2" t="s">
        <v>818</v>
      </c>
      <c r="I340" s="5">
        <v>5606</v>
      </c>
      <c r="J340" s="64" t="s">
        <v>833</v>
      </c>
      <c r="K340" s="5">
        <v>900342</v>
      </c>
      <c r="L340" s="4" t="b">
        <v>1</v>
      </c>
      <c r="M340" s="5">
        <v>6038</v>
      </c>
      <c r="N340" s="2" t="s">
        <v>876</v>
      </c>
      <c r="O340" s="5">
        <v>427</v>
      </c>
      <c r="P340" s="2" t="s">
        <v>818</v>
      </c>
      <c r="Q340" s="5">
        <v>5009</v>
      </c>
      <c r="R340" s="2"/>
      <c r="T340" s="2"/>
    </row>
    <row r="341" spans="1:20" x14ac:dyDescent="0.2">
      <c r="A341" s="103"/>
      <c r="B341" s="28" t="s">
        <v>539</v>
      </c>
      <c r="C341" s="61" t="s">
        <v>820</v>
      </c>
      <c r="D341" s="2" t="s">
        <v>820</v>
      </c>
      <c r="E341" s="5">
        <v>434</v>
      </c>
      <c r="F341" s="2" t="s">
        <v>883</v>
      </c>
      <c r="G341" s="5">
        <v>301864</v>
      </c>
      <c r="H341" s="2" t="s">
        <v>819</v>
      </c>
      <c r="I341" s="5">
        <v>7539</v>
      </c>
      <c r="J341" s="2" t="s">
        <v>833</v>
      </c>
      <c r="K341" s="5">
        <v>10860</v>
      </c>
      <c r="L341" s="4" t="s">
        <v>833</v>
      </c>
      <c r="M341" s="5">
        <v>901012</v>
      </c>
      <c r="N341" s="2" t="s">
        <v>823</v>
      </c>
      <c r="O341" s="5">
        <v>354</v>
      </c>
      <c r="P341" s="2" t="s">
        <v>820</v>
      </c>
      <c r="Q341" s="5">
        <v>1716</v>
      </c>
      <c r="R341" s="2"/>
      <c r="T341" s="2"/>
    </row>
    <row r="342" spans="1:20" x14ac:dyDescent="0.2">
      <c r="A342" s="103"/>
      <c r="B342" s="28" t="s">
        <v>538</v>
      </c>
      <c r="C342" s="22" t="s">
        <v>820</v>
      </c>
      <c r="D342" s="2" t="s">
        <v>820</v>
      </c>
      <c r="E342" s="5">
        <v>413</v>
      </c>
      <c r="F342" s="2" t="b">
        <v>0</v>
      </c>
      <c r="G342" s="5">
        <v>2113</v>
      </c>
      <c r="H342" s="75" t="s">
        <v>820</v>
      </c>
      <c r="I342" s="5">
        <v>9529</v>
      </c>
      <c r="J342" s="2" t="b">
        <v>0</v>
      </c>
      <c r="K342" s="5">
        <v>2260</v>
      </c>
      <c r="L342" s="4" t="s">
        <v>833</v>
      </c>
      <c r="M342" s="5">
        <v>901037</v>
      </c>
      <c r="N342" s="2" t="s">
        <v>823</v>
      </c>
      <c r="O342" s="5">
        <v>265</v>
      </c>
      <c r="P342" s="2" t="s">
        <v>820</v>
      </c>
      <c r="Q342" s="5">
        <v>3800</v>
      </c>
      <c r="R342" s="2"/>
      <c r="T342" s="2"/>
    </row>
    <row r="343" spans="1:20" x14ac:dyDescent="0.2">
      <c r="A343" s="103"/>
      <c r="B343" s="28" t="s">
        <v>537</v>
      </c>
      <c r="C343" s="22" t="s">
        <v>820</v>
      </c>
      <c r="D343" s="2" t="s">
        <v>820</v>
      </c>
      <c r="E343" s="5">
        <v>449</v>
      </c>
      <c r="F343" s="2" t="b">
        <v>0</v>
      </c>
      <c r="G343" s="5">
        <v>2724</v>
      </c>
      <c r="H343" s="76" t="s">
        <v>820</v>
      </c>
      <c r="I343" s="5">
        <v>910037</v>
      </c>
      <c r="J343" s="2" t="b">
        <v>0</v>
      </c>
      <c r="K343" s="5">
        <v>2481</v>
      </c>
      <c r="L343" s="4" t="s">
        <v>833</v>
      </c>
      <c r="M343" s="5">
        <v>901182</v>
      </c>
      <c r="N343" s="2" t="s">
        <v>823</v>
      </c>
      <c r="O343" s="5">
        <v>397</v>
      </c>
      <c r="P343" s="2" t="s">
        <v>820</v>
      </c>
      <c r="Q343" s="5">
        <v>2600</v>
      </c>
      <c r="R343" s="2"/>
      <c r="T343" s="2"/>
    </row>
    <row r="344" spans="1:20" x14ac:dyDescent="0.2">
      <c r="A344" s="103"/>
      <c r="B344" s="28" t="s">
        <v>536</v>
      </c>
      <c r="C344" s="22" t="s">
        <v>820</v>
      </c>
      <c r="D344" s="2" t="s">
        <v>820</v>
      </c>
      <c r="E344" s="5">
        <v>755</v>
      </c>
      <c r="F344" s="2" t="s">
        <v>883</v>
      </c>
      <c r="G344" s="5">
        <v>301788</v>
      </c>
      <c r="H344" s="2" t="s">
        <v>819</v>
      </c>
      <c r="I344" s="5">
        <v>9560</v>
      </c>
      <c r="J344" s="2" t="b">
        <v>0</v>
      </c>
      <c r="K344" s="5">
        <v>7469</v>
      </c>
      <c r="L344" s="4" t="s">
        <v>833</v>
      </c>
      <c r="M344" s="5">
        <v>902456</v>
      </c>
      <c r="N344" s="2" t="s">
        <v>823</v>
      </c>
      <c r="O344" s="5">
        <v>507</v>
      </c>
      <c r="P344" s="2" t="s">
        <v>820</v>
      </c>
      <c r="Q344" s="5">
        <v>168363</v>
      </c>
      <c r="R344" s="2"/>
      <c r="T344" s="2"/>
    </row>
    <row r="345" spans="1:20" x14ac:dyDescent="0.2">
      <c r="A345" s="103"/>
      <c r="B345" s="28" t="s">
        <v>535</v>
      </c>
      <c r="C345" s="22" t="s">
        <v>820</v>
      </c>
      <c r="D345" s="2" t="s">
        <v>820</v>
      </c>
      <c r="E345" s="5">
        <v>425</v>
      </c>
      <c r="F345" s="2" t="b">
        <v>0</v>
      </c>
      <c r="G345" s="5">
        <v>2032</v>
      </c>
      <c r="H345" s="75" t="s">
        <v>820</v>
      </c>
      <c r="I345" s="5">
        <v>7385</v>
      </c>
      <c r="J345" s="2" t="b">
        <v>0</v>
      </c>
      <c r="K345" s="5">
        <v>2163</v>
      </c>
      <c r="L345" s="4" t="s">
        <v>833</v>
      </c>
      <c r="M345" s="5">
        <v>901021</v>
      </c>
      <c r="N345" s="2" t="s">
        <v>823</v>
      </c>
      <c r="O345" s="5">
        <v>279</v>
      </c>
      <c r="P345" s="2" t="s">
        <v>820</v>
      </c>
      <c r="Q345" s="5">
        <v>1666</v>
      </c>
      <c r="R345" s="2"/>
      <c r="T345" s="2"/>
    </row>
    <row r="346" spans="1:20" x14ac:dyDescent="0.2">
      <c r="A346" s="103"/>
      <c r="B346" s="28" t="s">
        <v>534</v>
      </c>
      <c r="C346" s="22" t="s">
        <v>818</v>
      </c>
      <c r="D346" s="2" t="s">
        <v>818</v>
      </c>
      <c r="E346" s="5">
        <v>745</v>
      </c>
      <c r="F346" s="2" t="b">
        <v>1</v>
      </c>
      <c r="G346" s="5">
        <v>186165</v>
      </c>
      <c r="H346" s="2" t="s">
        <v>818</v>
      </c>
      <c r="I346" s="5">
        <v>9949</v>
      </c>
      <c r="J346" s="2" t="b">
        <v>1</v>
      </c>
      <c r="K346" s="5">
        <v>3505</v>
      </c>
      <c r="L346" s="4" t="b">
        <v>1</v>
      </c>
      <c r="M346" s="5">
        <v>7550</v>
      </c>
      <c r="N346" s="2" t="s">
        <v>876</v>
      </c>
      <c r="O346" s="5">
        <v>332</v>
      </c>
      <c r="P346" s="2" t="s">
        <v>818</v>
      </c>
      <c r="Q346" s="5">
        <v>7300</v>
      </c>
      <c r="R346" s="2"/>
      <c r="T346" s="2"/>
    </row>
    <row r="347" spans="1:20" x14ac:dyDescent="0.2">
      <c r="A347" s="103"/>
      <c r="B347" s="28" t="s">
        <v>533</v>
      </c>
      <c r="C347" s="22" t="s">
        <v>818</v>
      </c>
      <c r="D347" s="2" t="s">
        <v>818</v>
      </c>
      <c r="E347" s="5">
        <v>621</v>
      </c>
      <c r="F347" s="2" t="b">
        <v>1</v>
      </c>
      <c r="G347" s="5">
        <v>186744</v>
      </c>
      <c r="H347" s="2" t="s">
        <v>818</v>
      </c>
      <c r="I347" s="5">
        <v>11870</v>
      </c>
      <c r="J347" s="2" t="b">
        <v>1</v>
      </c>
      <c r="K347" s="5">
        <v>4764</v>
      </c>
      <c r="L347" s="4" t="b">
        <v>1</v>
      </c>
      <c r="M347" s="5">
        <v>7968</v>
      </c>
      <c r="N347" s="2" t="s">
        <v>876</v>
      </c>
      <c r="O347" s="5">
        <v>412</v>
      </c>
      <c r="P347" s="2" t="s">
        <v>818</v>
      </c>
      <c r="Q347" s="5">
        <v>13320</v>
      </c>
      <c r="R347" s="2"/>
      <c r="T347" s="2"/>
    </row>
    <row r="348" spans="1:20" x14ac:dyDescent="0.2">
      <c r="A348" s="103"/>
      <c r="B348" s="28" t="s">
        <v>532</v>
      </c>
      <c r="C348" s="22" t="s">
        <v>818</v>
      </c>
      <c r="D348" s="2" t="s">
        <v>837</v>
      </c>
      <c r="E348" s="5">
        <v>900774</v>
      </c>
      <c r="F348" s="2" t="s">
        <v>883</v>
      </c>
      <c r="G348" s="5">
        <v>301764</v>
      </c>
      <c r="H348" s="2" t="s">
        <v>838</v>
      </c>
      <c r="I348" s="5">
        <v>23674</v>
      </c>
      <c r="J348" s="2" t="b">
        <v>1</v>
      </c>
      <c r="K348" s="5">
        <v>4677</v>
      </c>
      <c r="L348" s="4" t="b">
        <v>1</v>
      </c>
      <c r="M348" s="5">
        <v>9501</v>
      </c>
      <c r="N348" s="2" t="s">
        <v>876</v>
      </c>
      <c r="O348" s="5">
        <v>373</v>
      </c>
      <c r="P348" s="64" t="s">
        <v>837</v>
      </c>
      <c r="Q348" s="5">
        <v>910098</v>
      </c>
      <c r="R348" s="2"/>
      <c r="T348" s="2"/>
    </row>
    <row r="349" spans="1:20" x14ac:dyDescent="0.2">
      <c r="A349" s="103"/>
      <c r="B349" s="28" t="s">
        <v>531</v>
      </c>
      <c r="C349" s="22" t="s">
        <v>818</v>
      </c>
      <c r="D349" s="2" t="s">
        <v>818</v>
      </c>
      <c r="E349" s="5">
        <v>2150</v>
      </c>
      <c r="F349" s="2" t="b">
        <v>1</v>
      </c>
      <c r="G349" s="5">
        <v>182355</v>
      </c>
      <c r="H349" s="2" t="s">
        <v>818</v>
      </c>
      <c r="I349" s="5">
        <v>5750</v>
      </c>
      <c r="J349" s="2" t="b">
        <v>1</v>
      </c>
      <c r="K349" s="5">
        <v>3846</v>
      </c>
      <c r="L349" s="4" t="b">
        <v>1</v>
      </c>
      <c r="M349" s="5">
        <v>6400</v>
      </c>
      <c r="N349" s="2" t="s">
        <v>823</v>
      </c>
      <c r="O349" s="5">
        <v>318</v>
      </c>
      <c r="P349" s="2" t="s">
        <v>818</v>
      </c>
      <c r="Q349" s="5">
        <v>3092</v>
      </c>
      <c r="R349" s="2"/>
      <c r="T349" s="2"/>
    </row>
    <row r="350" spans="1:20" x14ac:dyDescent="0.2">
      <c r="A350" s="103"/>
      <c r="B350" s="28" t="s">
        <v>530</v>
      </c>
      <c r="C350" s="22" t="s">
        <v>818</v>
      </c>
      <c r="D350" s="2" t="s">
        <v>818</v>
      </c>
      <c r="E350" s="5">
        <v>2777</v>
      </c>
      <c r="F350" s="2" t="b">
        <v>1</v>
      </c>
      <c r="G350" s="5">
        <v>183033</v>
      </c>
      <c r="H350" s="2" t="s">
        <v>818</v>
      </c>
      <c r="I350" s="5">
        <v>5167</v>
      </c>
      <c r="J350" s="2" t="b">
        <v>1</v>
      </c>
      <c r="K350" s="5">
        <v>3928</v>
      </c>
      <c r="L350" s="4" t="b">
        <v>1</v>
      </c>
      <c r="M350" s="5">
        <v>6900</v>
      </c>
      <c r="N350" s="2" t="s">
        <v>823</v>
      </c>
      <c r="O350" s="5">
        <v>334</v>
      </c>
      <c r="P350" s="2" t="s">
        <v>818</v>
      </c>
      <c r="Q350" s="5">
        <v>3616</v>
      </c>
      <c r="R350" s="2"/>
      <c r="T350" s="2"/>
    </row>
    <row r="351" spans="1:20" x14ac:dyDescent="0.2">
      <c r="A351" s="103"/>
      <c r="B351" s="28" t="s">
        <v>529</v>
      </c>
      <c r="C351" s="22" t="s">
        <v>818</v>
      </c>
      <c r="D351" s="2" t="s">
        <v>818</v>
      </c>
      <c r="E351" s="5">
        <v>3081</v>
      </c>
      <c r="F351" s="2" t="b">
        <v>1</v>
      </c>
      <c r="G351" s="5">
        <v>182899</v>
      </c>
      <c r="H351" s="2" t="s">
        <v>818</v>
      </c>
      <c r="I351" s="5">
        <v>5209</v>
      </c>
      <c r="J351" s="2" t="b">
        <v>1</v>
      </c>
      <c r="K351" s="5">
        <v>5856</v>
      </c>
      <c r="L351" s="4" t="s">
        <v>833</v>
      </c>
      <c r="M351" s="5">
        <v>5684</v>
      </c>
      <c r="N351" s="2" t="s">
        <v>823</v>
      </c>
      <c r="O351" s="5">
        <v>417</v>
      </c>
      <c r="P351" s="2" t="s">
        <v>818</v>
      </c>
      <c r="Q351" s="5">
        <v>4297</v>
      </c>
      <c r="R351" s="2"/>
      <c r="T351" s="2"/>
    </row>
    <row r="352" spans="1:20" x14ac:dyDescent="0.2">
      <c r="A352" s="103"/>
      <c r="B352" s="28" t="s">
        <v>528</v>
      </c>
      <c r="C352" s="22" t="s">
        <v>818</v>
      </c>
      <c r="D352" s="2" t="s">
        <v>818</v>
      </c>
      <c r="E352" s="5">
        <v>2145</v>
      </c>
      <c r="F352" s="2" t="b">
        <v>1</v>
      </c>
      <c r="G352" s="5">
        <v>182254</v>
      </c>
      <c r="H352" s="2" t="s">
        <v>818</v>
      </c>
      <c r="I352" s="5">
        <v>4659</v>
      </c>
      <c r="J352" s="2" t="b">
        <v>1</v>
      </c>
      <c r="K352" s="5">
        <v>3097</v>
      </c>
      <c r="L352" s="4" t="b">
        <v>1</v>
      </c>
      <c r="M352" s="5">
        <v>5850</v>
      </c>
      <c r="N352" s="2" t="s">
        <v>876</v>
      </c>
      <c r="O352" s="5">
        <v>411</v>
      </c>
      <c r="P352" s="2" t="s">
        <v>818</v>
      </c>
      <c r="Q352" s="5">
        <v>3879</v>
      </c>
      <c r="R352" s="2"/>
      <c r="T352" s="2"/>
    </row>
    <row r="353" spans="1:20" x14ac:dyDescent="0.2">
      <c r="A353" s="103"/>
      <c r="B353" s="28" t="s">
        <v>527</v>
      </c>
      <c r="C353" s="22" t="s">
        <v>820</v>
      </c>
      <c r="D353" s="2" t="s">
        <v>820</v>
      </c>
      <c r="E353" s="5">
        <v>1379</v>
      </c>
      <c r="F353" s="2" t="s">
        <v>883</v>
      </c>
      <c r="G353" s="5">
        <v>301804</v>
      </c>
      <c r="H353" s="2" t="s">
        <v>819</v>
      </c>
      <c r="I353" s="5">
        <v>68436</v>
      </c>
      <c r="J353" s="2" t="b">
        <v>0</v>
      </c>
      <c r="K353" s="5">
        <v>2484</v>
      </c>
      <c r="L353" s="4" t="s">
        <v>833</v>
      </c>
      <c r="M353" s="5">
        <v>5965</v>
      </c>
      <c r="N353" s="2" t="s">
        <v>877</v>
      </c>
      <c r="O353" s="5">
        <v>316</v>
      </c>
      <c r="P353" s="2" t="s">
        <v>820</v>
      </c>
      <c r="Q353" s="5">
        <v>2558</v>
      </c>
      <c r="R353" s="2"/>
      <c r="T353" s="2"/>
    </row>
    <row r="354" spans="1:20" x14ac:dyDescent="0.2">
      <c r="A354" s="103"/>
      <c r="B354" s="28" t="s">
        <v>526</v>
      </c>
      <c r="C354" s="22" t="s">
        <v>818</v>
      </c>
      <c r="D354" s="2" t="s">
        <v>818</v>
      </c>
      <c r="E354" s="5">
        <v>1369</v>
      </c>
      <c r="F354" s="2" t="b">
        <v>1</v>
      </c>
      <c r="G354" s="5">
        <v>37958</v>
      </c>
      <c r="H354" s="2" t="s">
        <v>838</v>
      </c>
      <c r="I354" s="5">
        <v>20069</v>
      </c>
      <c r="J354" s="2" t="b">
        <v>1</v>
      </c>
      <c r="K354" s="5">
        <v>2806</v>
      </c>
      <c r="L354" s="4" t="s">
        <v>833</v>
      </c>
      <c r="M354" s="5">
        <v>5795</v>
      </c>
      <c r="N354" s="2" t="s">
        <v>876</v>
      </c>
      <c r="O354" s="5">
        <v>362</v>
      </c>
      <c r="P354" s="2" t="s">
        <v>818</v>
      </c>
      <c r="Q354" s="5">
        <v>2262</v>
      </c>
      <c r="R354" s="2"/>
      <c r="T354" s="2"/>
    </row>
    <row r="355" spans="1:20" x14ac:dyDescent="0.2">
      <c r="A355" s="103"/>
      <c r="B355" s="28" t="s">
        <v>525</v>
      </c>
      <c r="C355" s="22" t="s">
        <v>818</v>
      </c>
      <c r="D355" s="2" t="s">
        <v>818</v>
      </c>
      <c r="E355" s="5">
        <v>5284</v>
      </c>
      <c r="F355" s="2" t="b">
        <v>1</v>
      </c>
      <c r="G355" s="5">
        <v>182461</v>
      </c>
      <c r="H355" s="2" t="s">
        <v>818</v>
      </c>
      <c r="I355" s="5">
        <v>9905</v>
      </c>
      <c r="J355" s="2" t="b">
        <v>1</v>
      </c>
      <c r="K355" s="5">
        <v>4296</v>
      </c>
      <c r="L355" s="4" t="b">
        <v>1</v>
      </c>
      <c r="M355" s="5">
        <v>7549</v>
      </c>
      <c r="N355" s="2" t="s">
        <v>823</v>
      </c>
      <c r="O355" s="5">
        <v>1607</v>
      </c>
      <c r="P355" s="2" t="s">
        <v>818</v>
      </c>
      <c r="Q355" s="5">
        <v>64994</v>
      </c>
      <c r="R355" s="2"/>
      <c r="T355" s="2"/>
    </row>
    <row r="356" spans="1:20" x14ac:dyDescent="0.2">
      <c r="A356" s="103"/>
      <c r="B356" s="28" t="s">
        <v>524</v>
      </c>
      <c r="C356" s="22" t="s">
        <v>820</v>
      </c>
      <c r="D356" s="2" t="s">
        <v>820</v>
      </c>
      <c r="E356" s="5">
        <v>2589</v>
      </c>
      <c r="F356" s="2" t="s">
        <v>883</v>
      </c>
      <c r="G356" s="5">
        <v>301848</v>
      </c>
      <c r="H356" s="76" t="s">
        <v>820</v>
      </c>
      <c r="I356" s="5">
        <v>900934</v>
      </c>
      <c r="J356" s="2" t="b">
        <v>0</v>
      </c>
      <c r="K356" s="5">
        <v>3454</v>
      </c>
      <c r="L356" s="4" t="s">
        <v>833</v>
      </c>
      <c r="M356" s="5">
        <v>900984</v>
      </c>
      <c r="N356" s="2" t="s">
        <v>823</v>
      </c>
      <c r="O356" s="5">
        <v>660</v>
      </c>
      <c r="P356" s="2" t="s">
        <v>820</v>
      </c>
      <c r="Q356" s="5">
        <v>2226</v>
      </c>
      <c r="R356" s="2"/>
      <c r="T356" s="2"/>
    </row>
    <row r="357" spans="1:20" x14ac:dyDescent="0.2">
      <c r="A357" s="103"/>
      <c r="B357" s="28" t="s">
        <v>523</v>
      </c>
      <c r="C357" s="61" t="s">
        <v>820</v>
      </c>
      <c r="D357" s="2" t="s">
        <v>820</v>
      </c>
      <c r="E357" s="5">
        <v>1993</v>
      </c>
      <c r="F357" s="2" t="s">
        <v>883</v>
      </c>
      <c r="G357" s="5">
        <v>301882</v>
      </c>
      <c r="H357" s="64" t="s">
        <v>837</v>
      </c>
      <c r="I357" s="5">
        <v>910052</v>
      </c>
      <c r="J357" s="2" t="s">
        <v>833</v>
      </c>
      <c r="K357" s="5">
        <v>10689</v>
      </c>
      <c r="L357" s="4" t="s">
        <v>833</v>
      </c>
      <c r="M357" s="5">
        <v>901146</v>
      </c>
      <c r="N357" s="2" t="s">
        <v>876</v>
      </c>
      <c r="O357" s="5">
        <v>284</v>
      </c>
      <c r="P357" s="2" t="s">
        <v>820</v>
      </c>
      <c r="Q357" s="5">
        <v>1747</v>
      </c>
      <c r="R357" s="2"/>
      <c r="T357" s="2"/>
    </row>
    <row r="358" spans="1:20" x14ac:dyDescent="0.2">
      <c r="A358" s="103"/>
      <c r="B358" s="28" t="s">
        <v>522</v>
      </c>
      <c r="C358" s="22" t="s">
        <v>818</v>
      </c>
      <c r="D358" s="2" t="s">
        <v>818</v>
      </c>
      <c r="E358" s="5">
        <v>1433</v>
      </c>
      <c r="F358" s="2" t="b">
        <v>1</v>
      </c>
      <c r="G358" s="5">
        <v>63893</v>
      </c>
      <c r="H358" s="2" t="s">
        <v>818</v>
      </c>
      <c r="I358" s="5">
        <v>9419</v>
      </c>
      <c r="J358" s="2" t="b">
        <v>1</v>
      </c>
      <c r="K358" s="5">
        <v>2789</v>
      </c>
      <c r="L358" s="4" t="b">
        <v>1</v>
      </c>
      <c r="M358" s="5">
        <v>6522</v>
      </c>
      <c r="N358" s="2" t="s">
        <v>876</v>
      </c>
      <c r="O358" s="5">
        <v>310</v>
      </c>
      <c r="P358" s="2" t="s">
        <v>818</v>
      </c>
      <c r="Q358" s="5">
        <v>16539</v>
      </c>
      <c r="R358" s="2"/>
      <c r="T358" s="2"/>
    </row>
    <row r="359" spans="1:20" x14ac:dyDescent="0.2">
      <c r="A359" s="103"/>
      <c r="B359" s="28" t="s">
        <v>521</v>
      </c>
      <c r="C359" s="22" t="s">
        <v>818</v>
      </c>
      <c r="D359" s="2" t="s">
        <v>818</v>
      </c>
      <c r="E359" s="5">
        <v>2047</v>
      </c>
      <c r="F359" s="2" t="b">
        <v>1</v>
      </c>
      <c r="G359" s="5">
        <v>47226</v>
      </c>
      <c r="H359" s="2" t="s">
        <v>818</v>
      </c>
      <c r="I359" s="5">
        <v>5364</v>
      </c>
      <c r="J359" s="2" t="b">
        <v>1</v>
      </c>
      <c r="K359" s="5">
        <v>2800</v>
      </c>
      <c r="L359" s="4" t="s">
        <v>833</v>
      </c>
      <c r="M359" s="5">
        <v>902358</v>
      </c>
      <c r="N359" s="2" t="s">
        <v>876</v>
      </c>
      <c r="O359" s="5">
        <v>366</v>
      </c>
      <c r="P359" s="2" t="s">
        <v>818</v>
      </c>
      <c r="Q359" s="5">
        <v>2613</v>
      </c>
      <c r="R359" s="2"/>
      <c r="T359" s="2"/>
    </row>
    <row r="360" spans="1:20" x14ac:dyDescent="0.2">
      <c r="A360" s="103"/>
      <c r="B360" s="28" t="s">
        <v>520</v>
      </c>
      <c r="C360" s="22" t="s">
        <v>818</v>
      </c>
      <c r="D360" s="2" t="s">
        <v>818</v>
      </c>
      <c r="E360" s="5">
        <v>2436</v>
      </c>
      <c r="F360" s="2" t="b">
        <v>1</v>
      </c>
      <c r="G360" s="5">
        <v>182980</v>
      </c>
      <c r="H360" s="2" t="s">
        <v>818</v>
      </c>
      <c r="I360" s="5">
        <v>6286</v>
      </c>
      <c r="J360" s="2" t="b">
        <v>1</v>
      </c>
      <c r="K360" s="5">
        <v>2862</v>
      </c>
      <c r="L360" s="4" t="b">
        <v>1</v>
      </c>
      <c r="M360" s="5">
        <v>8220</v>
      </c>
      <c r="N360" s="2" t="s">
        <v>823</v>
      </c>
      <c r="O360" s="5">
        <v>606</v>
      </c>
      <c r="P360" s="2" t="s">
        <v>818</v>
      </c>
      <c r="Q360" s="5">
        <v>5841</v>
      </c>
      <c r="R360" s="2"/>
      <c r="T360" s="2"/>
    </row>
    <row r="361" spans="1:20" x14ac:dyDescent="0.2">
      <c r="A361" s="103"/>
      <c r="B361" s="28" t="s">
        <v>519</v>
      </c>
      <c r="C361" s="22" t="s">
        <v>820</v>
      </c>
      <c r="D361" s="2" t="s">
        <v>820</v>
      </c>
      <c r="E361" s="5">
        <v>1687</v>
      </c>
      <c r="F361" s="2" t="b">
        <v>0</v>
      </c>
      <c r="G361" s="5">
        <v>2019</v>
      </c>
      <c r="H361" s="75" t="s">
        <v>820</v>
      </c>
      <c r="I361" s="5">
        <v>6353</v>
      </c>
      <c r="J361" s="2" t="b">
        <v>0</v>
      </c>
      <c r="K361" s="5">
        <v>2229</v>
      </c>
      <c r="L361" s="4" t="s">
        <v>833</v>
      </c>
      <c r="M361" s="5">
        <v>901016</v>
      </c>
      <c r="N361" s="2" t="s">
        <v>823</v>
      </c>
      <c r="O361" s="5">
        <v>516</v>
      </c>
      <c r="P361" s="2" t="s">
        <v>820</v>
      </c>
      <c r="Q361" s="5">
        <v>1902</v>
      </c>
      <c r="R361" s="2"/>
      <c r="T361" s="2"/>
    </row>
    <row r="362" spans="1:20" x14ac:dyDescent="0.2">
      <c r="A362" s="103"/>
      <c r="B362" s="28" t="s">
        <v>518</v>
      </c>
      <c r="C362" s="22" t="s">
        <v>820</v>
      </c>
      <c r="D362" s="2" t="s">
        <v>820</v>
      </c>
      <c r="E362" s="5">
        <v>1370</v>
      </c>
      <c r="F362" s="2" t="b">
        <v>0</v>
      </c>
      <c r="G362" s="5">
        <v>2028</v>
      </c>
      <c r="H362" s="75" t="s">
        <v>820</v>
      </c>
      <c r="I362" s="5">
        <v>7267</v>
      </c>
      <c r="J362" s="2" t="b">
        <v>0</v>
      </c>
      <c r="K362" s="5">
        <v>2694</v>
      </c>
      <c r="L362" s="4" t="s">
        <v>833</v>
      </c>
      <c r="M362" s="5">
        <v>900976</v>
      </c>
      <c r="N362" s="2" t="s">
        <v>821</v>
      </c>
      <c r="O362" s="5">
        <v>900250</v>
      </c>
      <c r="P362" s="2" t="s">
        <v>820</v>
      </c>
      <c r="Q362" s="5">
        <v>2592</v>
      </c>
      <c r="R362" s="2"/>
      <c r="T362" s="2"/>
    </row>
    <row r="363" spans="1:20" x14ac:dyDescent="0.2">
      <c r="A363" s="103"/>
      <c r="B363" s="28" t="s">
        <v>517</v>
      </c>
      <c r="C363" s="22" t="s">
        <v>820</v>
      </c>
      <c r="D363" s="2" t="s">
        <v>820</v>
      </c>
      <c r="E363" s="5">
        <v>1566</v>
      </c>
      <c r="F363" s="2" t="s">
        <v>883</v>
      </c>
      <c r="G363" s="5">
        <v>301775</v>
      </c>
      <c r="H363" s="75" t="s">
        <v>820</v>
      </c>
      <c r="I363" s="5">
        <v>15571</v>
      </c>
      <c r="J363" s="2" t="b">
        <v>0</v>
      </c>
      <c r="K363" s="5">
        <v>2559</v>
      </c>
      <c r="L363" s="4" t="s">
        <v>833</v>
      </c>
      <c r="M363" s="5">
        <v>901175</v>
      </c>
      <c r="N363" s="2" t="s">
        <v>823</v>
      </c>
      <c r="O363" s="5">
        <v>435</v>
      </c>
      <c r="P363" s="2" t="s">
        <v>820</v>
      </c>
      <c r="Q363" s="5">
        <v>2101</v>
      </c>
      <c r="R363" s="2"/>
      <c r="T363" s="2"/>
    </row>
    <row r="364" spans="1:20" x14ac:dyDescent="0.2">
      <c r="A364" s="103"/>
      <c r="B364" s="28" t="s">
        <v>516</v>
      </c>
      <c r="C364" s="22" t="s">
        <v>820</v>
      </c>
      <c r="D364" s="2" t="s">
        <v>820</v>
      </c>
      <c r="E364" s="5">
        <v>2014</v>
      </c>
      <c r="F364" s="2" t="s">
        <v>883</v>
      </c>
      <c r="G364" s="5">
        <v>301785</v>
      </c>
      <c r="H364" s="75" t="s">
        <v>820</v>
      </c>
      <c r="I364" s="5">
        <v>72216</v>
      </c>
      <c r="J364" s="2" t="b">
        <v>0</v>
      </c>
      <c r="K364" s="5">
        <v>2443</v>
      </c>
      <c r="L364" s="4" t="s">
        <v>833</v>
      </c>
      <c r="M364" s="5">
        <v>901079</v>
      </c>
      <c r="N364" s="2" t="s">
        <v>823</v>
      </c>
      <c r="O364" s="5">
        <v>373</v>
      </c>
      <c r="P364" s="2" t="s">
        <v>820</v>
      </c>
      <c r="Q364" s="5">
        <v>1824</v>
      </c>
      <c r="R364" s="2"/>
      <c r="T364" s="2"/>
    </row>
    <row r="365" spans="1:20" x14ac:dyDescent="0.2">
      <c r="A365" s="103"/>
      <c r="B365" s="28" t="s">
        <v>515</v>
      </c>
      <c r="C365" s="22" t="s">
        <v>820</v>
      </c>
      <c r="D365" s="2" t="s">
        <v>820</v>
      </c>
      <c r="E365" s="5">
        <v>1507</v>
      </c>
      <c r="F365" s="2" t="b">
        <v>0</v>
      </c>
      <c r="G365" s="5">
        <v>2062</v>
      </c>
      <c r="H365" s="75" t="s">
        <v>820</v>
      </c>
      <c r="I365" s="5">
        <v>7920</v>
      </c>
      <c r="J365" s="2" t="b">
        <v>0</v>
      </c>
      <c r="K365" s="5">
        <v>2165</v>
      </c>
      <c r="L365" s="4" t="s">
        <v>833</v>
      </c>
      <c r="M365" s="5">
        <v>901046</v>
      </c>
      <c r="N365" s="2" t="s">
        <v>823</v>
      </c>
      <c r="O365" s="5">
        <v>283</v>
      </c>
      <c r="P365" s="2" t="s">
        <v>820</v>
      </c>
      <c r="Q365" s="5">
        <v>2018</v>
      </c>
      <c r="R365" s="2"/>
      <c r="T365" s="2"/>
    </row>
    <row r="366" spans="1:20" x14ac:dyDescent="0.2">
      <c r="A366" s="103"/>
      <c r="B366" s="28" t="s">
        <v>514</v>
      </c>
      <c r="C366" s="22" t="s">
        <v>820</v>
      </c>
      <c r="D366" s="2" t="s">
        <v>820</v>
      </c>
      <c r="E366" s="5">
        <v>1414</v>
      </c>
      <c r="F366" s="2" t="b">
        <v>0</v>
      </c>
      <c r="G366" s="5">
        <v>2027</v>
      </c>
      <c r="H366" s="75" t="s">
        <v>820</v>
      </c>
      <c r="I366" s="5">
        <v>7568</v>
      </c>
      <c r="J366" s="2" t="b">
        <v>0</v>
      </c>
      <c r="K366" s="5">
        <v>2155</v>
      </c>
      <c r="L366" s="4" t="s">
        <v>833</v>
      </c>
      <c r="M366" s="5">
        <v>901095</v>
      </c>
      <c r="N366" s="2" t="s">
        <v>823</v>
      </c>
      <c r="O366" s="5">
        <v>312</v>
      </c>
      <c r="P366" s="2" t="s">
        <v>820</v>
      </c>
      <c r="Q366" s="5">
        <v>2104</v>
      </c>
      <c r="R366" s="2"/>
      <c r="T366" s="2"/>
    </row>
    <row r="367" spans="1:20" x14ac:dyDescent="0.2">
      <c r="A367" s="103"/>
      <c r="B367" s="28" t="s">
        <v>513</v>
      </c>
      <c r="C367" s="22" t="s">
        <v>820</v>
      </c>
      <c r="D367" s="2" t="s">
        <v>820</v>
      </c>
      <c r="E367" s="5">
        <v>1517</v>
      </c>
      <c r="F367" s="2" t="s">
        <v>883</v>
      </c>
      <c r="G367" s="5">
        <v>301761</v>
      </c>
      <c r="H367" s="76" t="s">
        <v>820</v>
      </c>
      <c r="I367" s="5">
        <v>910030</v>
      </c>
      <c r="J367" s="2" t="b">
        <v>0</v>
      </c>
      <c r="K367" s="5">
        <v>2463</v>
      </c>
      <c r="L367" s="4" t="s">
        <v>833</v>
      </c>
      <c r="M367" s="5">
        <v>4968</v>
      </c>
      <c r="N367" s="2" t="s">
        <v>877</v>
      </c>
      <c r="O367" s="5">
        <v>278</v>
      </c>
      <c r="P367" s="2" t="s">
        <v>820</v>
      </c>
      <c r="Q367" s="5">
        <v>1773</v>
      </c>
      <c r="R367" s="2"/>
      <c r="T367" s="2"/>
    </row>
    <row r="368" spans="1:20" x14ac:dyDescent="0.2">
      <c r="A368" s="103"/>
      <c r="B368" s="28" t="s">
        <v>512</v>
      </c>
      <c r="C368" s="22" t="s">
        <v>820</v>
      </c>
      <c r="D368" s="2" t="s">
        <v>820</v>
      </c>
      <c r="E368" s="5">
        <v>1649</v>
      </c>
      <c r="F368" s="2" t="b">
        <v>0</v>
      </c>
      <c r="G368" s="5">
        <v>1979</v>
      </c>
      <c r="H368" s="75" t="s">
        <v>820</v>
      </c>
      <c r="I368" s="5">
        <v>4489</v>
      </c>
      <c r="J368" s="2" t="b">
        <v>0</v>
      </c>
      <c r="K368" s="5">
        <v>2172</v>
      </c>
      <c r="L368" s="4" t="s">
        <v>833</v>
      </c>
      <c r="M368" s="5">
        <v>4999</v>
      </c>
      <c r="N368" s="2" t="s">
        <v>877</v>
      </c>
      <c r="O368" s="5">
        <v>281</v>
      </c>
      <c r="P368" s="2" t="s">
        <v>820</v>
      </c>
      <c r="Q368" s="5">
        <v>1524</v>
      </c>
      <c r="R368" s="2"/>
      <c r="T368" s="2"/>
    </row>
    <row r="369" spans="1:20" x14ac:dyDescent="0.2">
      <c r="A369" s="103"/>
      <c r="B369" s="28" t="s">
        <v>511</v>
      </c>
      <c r="C369" s="22" t="s">
        <v>820</v>
      </c>
      <c r="D369" s="2" t="s">
        <v>820</v>
      </c>
      <c r="E369" s="5">
        <v>1586</v>
      </c>
      <c r="F369" s="2" t="b">
        <v>0</v>
      </c>
      <c r="G369" s="5">
        <v>2015</v>
      </c>
      <c r="H369" s="75" t="s">
        <v>820</v>
      </c>
      <c r="I369" s="5">
        <v>10550</v>
      </c>
      <c r="J369" s="2" t="b">
        <v>0</v>
      </c>
      <c r="K369" s="5">
        <v>2803</v>
      </c>
      <c r="L369" s="4" t="s">
        <v>833</v>
      </c>
      <c r="M369" s="5">
        <v>901031</v>
      </c>
      <c r="N369" s="2" t="s">
        <v>823</v>
      </c>
      <c r="O369" s="5">
        <v>298</v>
      </c>
      <c r="P369" s="2" t="s">
        <v>820</v>
      </c>
      <c r="Q369" s="5">
        <v>2067</v>
      </c>
      <c r="R369" s="2"/>
      <c r="T369" s="2"/>
    </row>
    <row r="370" spans="1:20" x14ac:dyDescent="0.2">
      <c r="A370" s="103"/>
      <c r="B370" s="28" t="s">
        <v>510</v>
      </c>
      <c r="C370" s="22" t="s">
        <v>820</v>
      </c>
      <c r="D370" s="2" t="s">
        <v>820</v>
      </c>
      <c r="E370" s="5">
        <v>1152</v>
      </c>
      <c r="F370" s="2" t="b">
        <v>0</v>
      </c>
      <c r="G370" s="5">
        <v>2023</v>
      </c>
      <c r="H370" s="75" t="s">
        <v>820</v>
      </c>
      <c r="I370" s="5">
        <v>9792</v>
      </c>
      <c r="J370" s="2" t="b">
        <v>0</v>
      </c>
      <c r="K370" s="5">
        <v>2796</v>
      </c>
      <c r="L370" s="4" t="s">
        <v>833</v>
      </c>
      <c r="M370" s="5">
        <v>6126</v>
      </c>
      <c r="N370" s="2" t="s">
        <v>877</v>
      </c>
      <c r="O370" s="5">
        <v>277</v>
      </c>
      <c r="P370" s="2" t="s">
        <v>820</v>
      </c>
      <c r="Q370" s="5">
        <v>1995</v>
      </c>
      <c r="R370" s="2"/>
      <c r="T370" s="2"/>
    </row>
    <row r="371" spans="1:20" x14ac:dyDescent="0.2">
      <c r="A371" s="103"/>
      <c r="B371" s="28" t="s">
        <v>509</v>
      </c>
      <c r="C371" s="22" t="s">
        <v>820</v>
      </c>
      <c r="D371" s="2" t="s">
        <v>820</v>
      </c>
      <c r="E371" s="5">
        <v>925</v>
      </c>
      <c r="F371" s="2" t="b">
        <v>0</v>
      </c>
      <c r="G371" s="5">
        <v>5680</v>
      </c>
      <c r="H371" s="76" t="s">
        <v>820</v>
      </c>
      <c r="I371" s="5">
        <v>910037</v>
      </c>
      <c r="J371" s="2" t="b">
        <v>0</v>
      </c>
      <c r="K371" s="5">
        <v>13039</v>
      </c>
      <c r="L371" s="4" t="s">
        <v>833</v>
      </c>
      <c r="M371" s="5">
        <v>903066</v>
      </c>
      <c r="N371" s="2" t="s">
        <v>823</v>
      </c>
      <c r="O371" s="5">
        <v>417</v>
      </c>
      <c r="P371" s="2" t="s">
        <v>820</v>
      </c>
      <c r="Q371" s="5">
        <v>2880</v>
      </c>
      <c r="R371" s="2"/>
      <c r="T371" s="2"/>
    </row>
    <row r="372" spans="1:20" x14ac:dyDescent="0.2">
      <c r="A372" s="103"/>
      <c r="B372" s="28" t="s">
        <v>508</v>
      </c>
      <c r="C372" s="61" t="s">
        <v>820</v>
      </c>
      <c r="D372" s="2" t="s">
        <v>820</v>
      </c>
      <c r="E372" s="5">
        <v>654</v>
      </c>
      <c r="F372" s="2" t="s">
        <v>883</v>
      </c>
      <c r="G372" s="5">
        <v>166279</v>
      </c>
      <c r="H372" s="64" t="s">
        <v>837</v>
      </c>
      <c r="I372" s="5">
        <v>910040</v>
      </c>
      <c r="J372" s="2" t="s">
        <v>833</v>
      </c>
      <c r="K372" s="5">
        <v>11932</v>
      </c>
      <c r="L372" s="4" t="s">
        <v>833</v>
      </c>
      <c r="M372" s="5">
        <v>901084</v>
      </c>
      <c r="N372" s="2" t="s">
        <v>823</v>
      </c>
      <c r="O372" s="5">
        <v>572</v>
      </c>
      <c r="P372" s="2" t="s">
        <v>820</v>
      </c>
      <c r="Q372" s="5">
        <v>3548</v>
      </c>
      <c r="R372" s="2"/>
      <c r="T372" s="2"/>
    </row>
    <row r="373" spans="1:20" x14ac:dyDescent="0.2">
      <c r="A373" s="103"/>
      <c r="B373" s="28" t="s">
        <v>507</v>
      </c>
      <c r="C373" s="22" t="s">
        <v>820</v>
      </c>
      <c r="D373" s="2" t="s">
        <v>820</v>
      </c>
      <c r="E373" s="5">
        <v>469</v>
      </c>
      <c r="F373" s="2" t="s">
        <v>883</v>
      </c>
      <c r="G373" s="5">
        <v>158212</v>
      </c>
      <c r="H373" s="2" t="s">
        <v>819</v>
      </c>
      <c r="I373" s="5">
        <v>13417</v>
      </c>
      <c r="J373" s="2" t="s">
        <v>833</v>
      </c>
      <c r="K373" s="5">
        <v>9920</v>
      </c>
      <c r="L373" s="4" t="s">
        <v>833</v>
      </c>
      <c r="M373" s="5">
        <v>6582</v>
      </c>
      <c r="N373" s="2" t="s">
        <v>823</v>
      </c>
      <c r="O373" s="5">
        <v>2250</v>
      </c>
      <c r="P373" s="2" t="s">
        <v>820</v>
      </c>
      <c r="Q373" s="5">
        <v>2776</v>
      </c>
      <c r="R373" s="2"/>
      <c r="T373" s="2"/>
    </row>
    <row r="374" spans="1:20" x14ac:dyDescent="0.2">
      <c r="A374" s="103"/>
      <c r="B374" s="28" t="s">
        <v>506</v>
      </c>
      <c r="C374" s="22" t="s">
        <v>820</v>
      </c>
      <c r="D374" s="2" t="s">
        <v>820</v>
      </c>
      <c r="E374" s="5">
        <v>436</v>
      </c>
      <c r="F374" s="2" t="b">
        <v>0</v>
      </c>
      <c r="G374" s="5">
        <v>2632</v>
      </c>
      <c r="H374" s="75" t="s">
        <v>820</v>
      </c>
      <c r="I374" s="5">
        <v>6648</v>
      </c>
      <c r="J374" s="2" t="b">
        <v>0</v>
      </c>
      <c r="K374" s="5">
        <v>2596</v>
      </c>
      <c r="L374" s="4" t="s">
        <v>833</v>
      </c>
      <c r="M374" s="5">
        <v>7751</v>
      </c>
      <c r="N374" s="2" t="s">
        <v>823</v>
      </c>
      <c r="O374" s="5">
        <v>14384</v>
      </c>
      <c r="P374" s="2" t="s">
        <v>820</v>
      </c>
      <c r="Q374" s="5">
        <v>1798</v>
      </c>
      <c r="R374" s="2"/>
      <c r="T374" s="2"/>
    </row>
    <row r="375" spans="1:20" x14ac:dyDescent="0.2">
      <c r="A375" s="103"/>
      <c r="B375" s="28" t="s">
        <v>505</v>
      </c>
      <c r="C375" s="22" t="s">
        <v>820</v>
      </c>
      <c r="D375" s="2" t="s">
        <v>820</v>
      </c>
      <c r="E375" s="5">
        <v>523</v>
      </c>
      <c r="F375" s="2" t="b">
        <v>0</v>
      </c>
      <c r="G375" s="5">
        <v>4123</v>
      </c>
      <c r="H375" s="75" t="s">
        <v>820</v>
      </c>
      <c r="I375" s="5">
        <v>13600</v>
      </c>
      <c r="J375" s="2" t="b">
        <v>0</v>
      </c>
      <c r="K375" s="5">
        <v>4103</v>
      </c>
      <c r="L375" s="4" t="s">
        <v>833</v>
      </c>
      <c r="M375" s="5">
        <v>5821</v>
      </c>
      <c r="N375" s="2" t="s">
        <v>823</v>
      </c>
      <c r="O375" s="5">
        <v>584</v>
      </c>
      <c r="P375" s="64" t="s">
        <v>837</v>
      </c>
      <c r="Q375" s="5">
        <v>910063</v>
      </c>
      <c r="R375" s="2"/>
      <c r="T375" s="2"/>
    </row>
    <row r="376" spans="1:20" x14ac:dyDescent="0.2">
      <c r="A376" s="103"/>
      <c r="B376" s="28" t="s">
        <v>504</v>
      </c>
      <c r="C376" s="22" t="s">
        <v>820</v>
      </c>
      <c r="D376" s="2" t="s">
        <v>820</v>
      </c>
      <c r="E376" s="5">
        <v>420</v>
      </c>
      <c r="F376" s="2" t="s">
        <v>883</v>
      </c>
      <c r="G376" s="5">
        <v>301766</v>
      </c>
      <c r="H376" s="75" t="s">
        <v>820</v>
      </c>
      <c r="I376" s="5">
        <v>18291</v>
      </c>
      <c r="J376" s="2" t="b">
        <v>0</v>
      </c>
      <c r="K376" s="5">
        <v>2576</v>
      </c>
      <c r="L376" s="4" t="s">
        <v>833</v>
      </c>
      <c r="M376" s="5">
        <v>900984</v>
      </c>
      <c r="N376" s="2" t="s">
        <v>823</v>
      </c>
      <c r="O376" s="5">
        <v>481</v>
      </c>
      <c r="P376" s="2" t="s">
        <v>820</v>
      </c>
      <c r="Q376" s="5">
        <v>2138</v>
      </c>
      <c r="R376" s="2"/>
      <c r="T376" s="2"/>
    </row>
    <row r="377" spans="1:20" x14ac:dyDescent="0.2">
      <c r="A377" s="103"/>
      <c r="B377" s="28" t="s">
        <v>503</v>
      </c>
      <c r="C377" s="22" t="s">
        <v>820</v>
      </c>
      <c r="D377" s="2" t="s">
        <v>820</v>
      </c>
      <c r="E377" s="5">
        <v>440</v>
      </c>
      <c r="F377" s="2" t="b">
        <v>0</v>
      </c>
      <c r="G377" s="5">
        <v>2063</v>
      </c>
      <c r="H377" s="75" t="s">
        <v>820</v>
      </c>
      <c r="I377" s="5">
        <v>18213</v>
      </c>
      <c r="J377" s="2" t="b">
        <v>0</v>
      </c>
      <c r="K377" s="5">
        <v>2279</v>
      </c>
      <c r="L377" s="4" t="s">
        <v>833</v>
      </c>
      <c r="M377" s="5">
        <v>7047</v>
      </c>
      <c r="N377" s="2" t="s">
        <v>823</v>
      </c>
      <c r="O377" s="5">
        <v>5986</v>
      </c>
      <c r="P377" s="2" t="s">
        <v>820</v>
      </c>
      <c r="Q377" s="5">
        <v>2570</v>
      </c>
      <c r="R377" s="2"/>
      <c r="T377" s="2"/>
    </row>
    <row r="378" spans="1:20" x14ac:dyDescent="0.2">
      <c r="A378" s="103"/>
      <c r="B378" s="28" t="s">
        <v>502</v>
      </c>
      <c r="C378" s="22" t="s">
        <v>818</v>
      </c>
      <c r="D378" s="2" t="s">
        <v>818</v>
      </c>
      <c r="E378" s="5">
        <v>526</v>
      </c>
      <c r="F378" s="2" t="b">
        <v>1</v>
      </c>
      <c r="G378" s="5">
        <v>182688</v>
      </c>
      <c r="H378" s="2" t="s">
        <v>818</v>
      </c>
      <c r="I378" s="5">
        <v>25884</v>
      </c>
      <c r="J378" s="2" t="b">
        <v>1</v>
      </c>
      <c r="K378" s="5">
        <v>5339</v>
      </c>
      <c r="L378" s="4" t="s">
        <v>833</v>
      </c>
      <c r="M378" s="5">
        <v>6668</v>
      </c>
      <c r="N378" s="2" t="s">
        <v>876</v>
      </c>
      <c r="O378" s="5">
        <v>368</v>
      </c>
      <c r="P378" s="2" t="s">
        <v>818</v>
      </c>
      <c r="Q378" s="5">
        <v>2417</v>
      </c>
      <c r="R378" s="2"/>
      <c r="T378" s="2"/>
    </row>
    <row r="379" spans="1:20" x14ac:dyDescent="0.2">
      <c r="A379" s="103"/>
      <c r="B379" s="28" t="s">
        <v>501</v>
      </c>
      <c r="C379" s="22" t="s">
        <v>820</v>
      </c>
      <c r="D379" s="2" t="s">
        <v>820</v>
      </c>
      <c r="E379" s="5">
        <v>430</v>
      </c>
      <c r="F379" s="2" t="b">
        <v>0</v>
      </c>
      <c r="G379" s="5">
        <v>2037</v>
      </c>
      <c r="H379" s="75" t="s">
        <v>820</v>
      </c>
      <c r="I379" s="5">
        <v>76212</v>
      </c>
      <c r="J379" s="2" t="b">
        <v>0</v>
      </c>
      <c r="K379" s="5">
        <v>2287</v>
      </c>
      <c r="L379" s="4" t="s">
        <v>833</v>
      </c>
      <c r="M379" s="5">
        <v>6903</v>
      </c>
      <c r="N379" s="2" t="s">
        <v>823</v>
      </c>
      <c r="O379" s="5">
        <v>421</v>
      </c>
      <c r="P379" s="2" t="s">
        <v>820</v>
      </c>
      <c r="Q379" s="5">
        <v>1902</v>
      </c>
      <c r="R379" s="2"/>
      <c r="T379" s="2"/>
    </row>
    <row r="380" spans="1:20" x14ac:dyDescent="0.2">
      <c r="A380" s="103"/>
      <c r="B380" s="28" t="s">
        <v>500</v>
      </c>
      <c r="C380" s="22" t="s">
        <v>818</v>
      </c>
      <c r="D380" s="2" t="s">
        <v>818</v>
      </c>
      <c r="E380" s="5">
        <v>1352</v>
      </c>
      <c r="F380" s="2" t="b">
        <v>1</v>
      </c>
      <c r="G380" s="5">
        <v>183593</v>
      </c>
      <c r="H380" s="2" t="s">
        <v>818</v>
      </c>
      <c r="I380" s="5">
        <v>9975</v>
      </c>
      <c r="J380" s="2" t="b">
        <v>1</v>
      </c>
      <c r="K380" s="5">
        <v>9900</v>
      </c>
      <c r="L380" s="4" t="s">
        <v>833</v>
      </c>
      <c r="M380" s="5">
        <v>7228</v>
      </c>
      <c r="N380" s="2" t="s">
        <v>876</v>
      </c>
      <c r="O380" s="5">
        <v>402</v>
      </c>
      <c r="P380" s="2" t="s">
        <v>818</v>
      </c>
      <c r="Q380" s="5">
        <v>15439</v>
      </c>
      <c r="R380" s="2"/>
      <c r="T380" s="2"/>
    </row>
    <row r="381" spans="1:20" x14ac:dyDescent="0.2">
      <c r="A381" s="103"/>
      <c r="B381" s="28" t="s">
        <v>499</v>
      </c>
      <c r="C381" s="22" t="s">
        <v>818</v>
      </c>
      <c r="D381" s="2" t="s">
        <v>818</v>
      </c>
      <c r="E381" s="5">
        <v>528</v>
      </c>
      <c r="F381" s="2" t="b">
        <v>1</v>
      </c>
      <c r="G381" s="5">
        <v>182582</v>
      </c>
      <c r="H381" s="2" t="s">
        <v>818</v>
      </c>
      <c r="I381" s="5">
        <v>10196</v>
      </c>
      <c r="J381" s="2" t="b">
        <v>1</v>
      </c>
      <c r="K381" s="5">
        <v>9450</v>
      </c>
      <c r="L381" s="4" t="s">
        <v>833</v>
      </c>
      <c r="M381" s="5">
        <v>6797</v>
      </c>
      <c r="N381" s="2" t="s">
        <v>876</v>
      </c>
      <c r="O381" s="5">
        <v>469</v>
      </c>
      <c r="P381" s="2" t="s">
        <v>818</v>
      </c>
      <c r="Q381" s="5">
        <v>2429</v>
      </c>
      <c r="R381" s="2"/>
      <c r="T381" s="2"/>
    </row>
    <row r="382" spans="1:20" x14ac:dyDescent="0.2">
      <c r="A382" s="103"/>
      <c r="B382" s="28" t="s">
        <v>498</v>
      </c>
      <c r="C382" s="22" t="s">
        <v>818</v>
      </c>
      <c r="D382" s="2" t="s">
        <v>818</v>
      </c>
      <c r="E382" s="5">
        <v>408</v>
      </c>
      <c r="F382" s="2" t="b">
        <v>1</v>
      </c>
      <c r="G382" s="5">
        <v>13015</v>
      </c>
      <c r="H382" s="2" t="s">
        <v>818</v>
      </c>
      <c r="I382" s="5">
        <v>6180</v>
      </c>
      <c r="J382" s="2" t="b">
        <v>1</v>
      </c>
      <c r="K382" s="5">
        <v>2745</v>
      </c>
      <c r="L382" s="4" t="b">
        <v>1</v>
      </c>
      <c r="M382" s="5">
        <v>5884</v>
      </c>
      <c r="N382" s="2" t="s">
        <v>876</v>
      </c>
      <c r="O382" s="5">
        <v>353</v>
      </c>
      <c r="P382" s="2" t="s">
        <v>818</v>
      </c>
      <c r="Q382" s="5">
        <v>1900</v>
      </c>
      <c r="R382" s="2"/>
      <c r="T382" s="2"/>
    </row>
    <row r="383" spans="1:20" x14ac:dyDescent="0.2">
      <c r="A383" s="103"/>
      <c r="B383" s="28" t="s">
        <v>497</v>
      </c>
      <c r="C383" s="22" t="s">
        <v>818</v>
      </c>
      <c r="D383" s="2" t="s">
        <v>818</v>
      </c>
      <c r="E383" s="5">
        <v>533</v>
      </c>
      <c r="F383" s="2" t="b">
        <v>1</v>
      </c>
      <c r="G383" s="5">
        <v>9660</v>
      </c>
      <c r="H383" s="2" t="s">
        <v>818</v>
      </c>
      <c r="I383" s="5">
        <v>6012</v>
      </c>
      <c r="J383" s="2" t="b">
        <v>1</v>
      </c>
      <c r="K383" s="5">
        <v>4351</v>
      </c>
      <c r="L383" s="4" t="s">
        <v>833</v>
      </c>
      <c r="M383" s="5">
        <v>902048</v>
      </c>
      <c r="N383" s="2" t="s">
        <v>823</v>
      </c>
      <c r="O383" s="5">
        <v>537</v>
      </c>
      <c r="P383" s="2" t="s">
        <v>818</v>
      </c>
      <c r="Q383" s="5">
        <v>21939</v>
      </c>
      <c r="R383" s="2"/>
      <c r="T383" s="2"/>
    </row>
    <row r="384" spans="1:20" x14ac:dyDescent="0.2">
      <c r="A384" s="103"/>
      <c r="B384" s="28" t="s">
        <v>496</v>
      </c>
      <c r="C384" s="22" t="s">
        <v>818</v>
      </c>
      <c r="D384" s="2" t="s">
        <v>818</v>
      </c>
      <c r="E384" s="5">
        <v>667</v>
      </c>
      <c r="F384" s="2" t="b">
        <v>1</v>
      </c>
      <c r="G384" s="5">
        <v>182300</v>
      </c>
      <c r="H384" s="2" t="s">
        <v>818</v>
      </c>
      <c r="I384" s="5">
        <v>10041</v>
      </c>
      <c r="J384" s="2" t="b">
        <v>1</v>
      </c>
      <c r="K384" s="5">
        <v>6005</v>
      </c>
      <c r="L384" s="4" t="b">
        <v>1</v>
      </c>
      <c r="M384" s="5">
        <v>7371</v>
      </c>
      <c r="N384" s="2" t="s">
        <v>823</v>
      </c>
      <c r="O384" s="5">
        <v>582</v>
      </c>
      <c r="P384" s="2" t="s">
        <v>818</v>
      </c>
      <c r="Q384" s="5">
        <v>5253</v>
      </c>
      <c r="R384" s="2"/>
      <c r="T384" s="2"/>
    </row>
    <row r="385" spans="1:20" x14ac:dyDescent="0.2">
      <c r="A385" s="103"/>
      <c r="B385" s="28" t="s">
        <v>495</v>
      </c>
      <c r="C385" s="22" t="s">
        <v>818</v>
      </c>
      <c r="D385" s="2" t="s">
        <v>818</v>
      </c>
      <c r="E385" s="5">
        <v>1058</v>
      </c>
      <c r="F385" s="2" t="b">
        <v>1</v>
      </c>
      <c r="G385" s="5">
        <v>184056</v>
      </c>
      <c r="H385" s="2" t="s">
        <v>818</v>
      </c>
      <c r="I385" s="5">
        <v>8562</v>
      </c>
      <c r="J385" s="2" t="b">
        <v>1</v>
      </c>
      <c r="K385" s="5">
        <v>4906</v>
      </c>
      <c r="L385" s="4" t="s">
        <v>833</v>
      </c>
      <c r="M385" s="5">
        <v>905234</v>
      </c>
      <c r="N385" s="2" t="s">
        <v>876</v>
      </c>
      <c r="O385" s="5">
        <v>360</v>
      </c>
      <c r="P385" s="2" t="s">
        <v>818</v>
      </c>
      <c r="Q385" s="5">
        <v>11427</v>
      </c>
      <c r="R385" s="2"/>
      <c r="T385" s="2"/>
    </row>
    <row r="386" spans="1:20" x14ac:dyDescent="0.2">
      <c r="A386" s="103"/>
      <c r="B386" s="28" t="s">
        <v>494</v>
      </c>
      <c r="C386" s="22" t="s">
        <v>818</v>
      </c>
      <c r="D386" s="2" t="s">
        <v>818</v>
      </c>
      <c r="E386" s="5">
        <v>422</v>
      </c>
      <c r="F386" s="2" t="b">
        <v>1</v>
      </c>
      <c r="G386" s="5">
        <v>183072</v>
      </c>
      <c r="H386" s="2" t="s">
        <v>818</v>
      </c>
      <c r="I386" s="5">
        <v>7463</v>
      </c>
      <c r="J386" s="2" t="b">
        <v>1</v>
      </c>
      <c r="K386" s="5">
        <v>3193</v>
      </c>
      <c r="L386" s="4" t="s">
        <v>833</v>
      </c>
      <c r="M386" s="5">
        <v>902896</v>
      </c>
      <c r="N386" s="2" t="s">
        <v>876</v>
      </c>
      <c r="O386" s="5">
        <v>370</v>
      </c>
      <c r="P386" s="2" t="s">
        <v>818</v>
      </c>
      <c r="Q386" s="5">
        <v>6186</v>
      </c>
      <c r="R386" s="2"/>
      <c r="T386" s="2"/>
    </row>
    <row r="387" spans="1:20" x14ac:dyDescent="0.2">
      <c r="A387" s="103"/>
      <c r="B387" s="28" t="s">
        <v>493</v>
      </c>
      <c r="C387" s="22" t="s">
        <v>818</v>
      </c>
      <c r="D387" s="2" t="s">
        <v>818</v>
      </c>
      <c r="E387" s="5">
        <v>429</v>
      </c>
      <c r="F387" s="2" t="b">
        <v>1</v>
      </c>
      <c r="G387" s="5">
        <v>183015</v>
      </c>
      <c r="H387" s="2" t="s">
        <v>818</v>
      </c>
      <c r="I387" s="5">
        <v>4648</v>
      </c>
      <c r="J387" s="2" t="b">
        <v>1</v>
      </c>
      <c r="K387" s="5">
        <v>2824</v>
      </c>
      <c r="L387" s="4" t="b">
        <v>1</v>
      </c>
      <c r="M387" s="5">
        <v>6009</v>
      </c>
      <c r="N387" s="2" t="s">
        <v>876</v>
      </c>
      <c r="O387" s="5">
        <v>357</v>
      </c>
      <c r="P387" s="2" t="s">
        <v>818</v>
      </c>
      <c r="Q387" s="5">
        <v>5563</v>
      </c>
      <c r="R387" s="2"/>
      <c r="T387" s="2"/>
    </row>
    <row r="388" spans="1:20" x14ac:dyDescent="0.2">
      <c r="A388" s="103"/>
      <c r="B388" s="28" t="s">
        <v>492</v>
      </c>
      <c r="C388" s="22" t="s">
        <v>818</v>
      </c>
      <c r="D388" s="2" t="s">
        <v>818</v>
      </c>
      <c r="E388" s="5">
        <v>1034</v>
      </c>
      <c r="F388" s="2" t="b">
        <v>1</v>
      </c>
      <c r="G388" s="5">
        <v>182344</v>
      </c>
      <c r="H388" s="2" t="s">
        <v>837</v>
      </c>
      <c r="I388" s="5">
        <v>910036</v>
      </c>
      <c r="J388" s="64" t="s">
        <v>833</v>
      </c>
      <c r="K388" s="5">
        <v>900318</v>
      </c>
      <c r="L388" s="4" t="b">
        <v>1</v>
      </c>
      <c r="M388" s="5">
        <v>15206</v>
      </c>
      <c r="N388" s="2" t="s">
        <v>823</v>
      </c>
      <c r="O388" s="5">
        <v>491</v>
      </c>
      <c r="P388" s="2" t="s">
        <v>818</v>
      </c>
      <c r="Q388" s="5">
        <v>5912</v>
      </c>
      <c r="R388" s="2"/>
      <c r="T388" s="2"/>
    </row>
    <row r="389" spans="1:20" x14ac:dyDescent="0.2">
      <c r="A389" s="103"/>
      <c r="B389" s="28" t="s">
        <v>491</v>
      </c>
      <c r="C389" s="22" t="s">
        <v>818</v>
      </c>
      <c r="D389" s="2" t="s">
        <v>818</v>
      </c>
      <c r="E389" s="5">
        <v>522</v>
      </c>
      <c r="F389" s="2" t="b">
        <v>1</v>
      </c>
      <c r="G389" s="5">
        <v>45345</v>
      </c>
      <c r="H389" s="2" t="s">
        <v>818</v>
      </c>
      <c r="I389" s="5">
        <v>5416</v>
      </c>
      <c r="J389" s="2" t="b">
        <v>1</v>
      </c>
      <c r="K389" s="5">
        <v>2946</v>
      </c>
      <c r="L389" s="4" t="b">
        <v>1</v>
      </c>
      <c r="M389" s="5">
        <v>6045</v>
      </c>
      <c r="N389" s="2" t="s">
        <v>823</v>
      </c>
      <c r="O389" s="5">
        <v>691</v>
      </c>
      <c r="P389" s="2" t="s">
        <v>818</v>
      </c>
      <c r="Q389" s="5">
        <v>2992</v>
      </c>
      <c r="R389" s="2"/>
      <c r="T389" s="2"/>
    </row>
    <row r="390" spans="1:20" x14ac:dyDescent="0.2">
      <c r="A390" s="103"/>
      <c r="B390" s="28" t="s">
        <v>490</v>
      </c>
      <c r="C390" s="22" t="s">
        <v>818</v>
      </c>
      <c r="D390" s="2" t="s">
        <v>818</v>
      </c>
      <c r="E390" s="5">
        <v>422</v>
      </c>
      <c r="F390" s="2" t="b">
        <v>1</v>
      </c>
      <c r="G390" s="5">
        <v>182271</v>
      </c>
      <c r="H390" s="2" t="s">
        <v>818</v>
      </c>
      <c r="I390" s="5">
        <v>4271</v>
      </c>
      <c r="J390" s="2" t="b">
        <v>1</v>
      </c>
      <c r="K390" s="5">
        <v>2682</v>
      </c>
      <c r="L390" s="4" t="b">
        <v>1</v>
      </c>
      <c r="M390" s="5">
        <v>5981</v>
      </c>
      <c r="N390" s="2" t="s">
        <v>876</v>
      </c>
      <c r="O390" s="5">
        <v>307</v>
      </c>
      <c r="P390" s="2" t="s">
        <v>818</v>
      </c>
      <c r="Q390" s="5">
        <v>1796</v>
      </c>
      <c r="R390" s="2"/>
      <c r="T390" s="2"/>
    </row>
    <row r="391" spans="1:20" x14ac:dyDescent="0.2">
      <c r="A391" s="103"/>
      <c r="B391" s="28" t="s">
        <v>489</v>
      </c>
      <c r="C391" s="22" t="s">
        <v>818</v>
      </c>
      <c r="D391" s="2" t="s">
        <v>818</v>
      </c>
      <c r="E391" s="5">
        <v>416</v>
      </c>
      <c r="F391" s="2" t="b">
        <v>1</v>
      </c>
      <c r="G391" s="5">
        <v>182289</v>
      </c>
      <c r="H391" s="2" t="s">
        <v>818</v>
      </c>
      <c r="I391" s="5">
        <v>4681</v>
      </c>
      <c r="J391" s="2" t="b">
        <v>1</v>
      </c>
      <c r="K391" s="5">
        <v>2790</v>
      </c>
      <c r="L391" s="4" t="b">
        <v>1</v>
      </c>
      <c r="M391" s="5">
        <v>5736</v>
      </c>
      <c r="N391" s="2" t="s">
        <v>876</v>
      </c>
      <c r="O391" s="5">
        <v>340</v>
      </c>
      <c r="P391" s="2" t="s">
        <v>818</v>
      </c>
      <c r="Q391" s="5">
        <v>9454</v>
      </c>
      <c r="R391" s="2"/>
      <c r="T391" s="2"/>
    </row>
    <row r="392" spans="1:20" x14ac:dyDescent="0.2">
      <c r="A392" s="103"/>
      <c r="B392" s="28" t="s">
        <v>488</v>
      </c>
      <c r="C392" s="22" t="s">
        <v>818</v>
      </c>
      <c r="D392" s="2" t="s">
        <v>818</v>
      </c>
      <c r="E392" s="5">
        <v>424</v>
      </c>
      <c r="F392" s="2" t="b">
        <v>1</v>
      </c>
      <c r="G392" s="5">
        <v>182304</v>
      </c>
      <c r="H392" s="2" t="s">
        <v>838</v>
      </c>
      <c r="I392" s="5">
        <v>22043</v>
      </c>
      <c r="J392" s="2" t="s">
        <v>833</v>
      </c>
      <c r="K392" s="5">
        <v>7547</v>
      </c>
      <c r="L392" s="4" t="s">
        <v>833</v>
      </c>
      <c r="M392" s="5">
        <v>5674</v>
      </c>
      <c r="N392" s="2" t="s">
        <v>876</v>
      </c>
      <c r="O392" s="5">
        <v>287</v>
      </c>
      <c r="P392" s="2" t="s">
        <v>818</v>
      </c>
      <c r="Q392" s="5">
        <v>1867</v>
      </c>
      <c r="R392" s="2"/>
      <c r="T392" s="2"/>
    </row>
    <row r="393" spans="1:20" x14ac:dyDescent="0.2">
      <c r="A393" s="103"/>
      <c r="B393" s="28" t="s">
        <v>487</v>
      </c>
      <c r="C393" s="22" t="s">
        <v>818</v>
      </c>
      <c r="D393" s="2" t="s">
        <v>818</v>
      </c>
      <c r="E393" s="5">
        <v>426</v>
      </c>
      <c r="F393" s="2" t="b">
        <v>1</v>
      </c>
      <c r="G393" s="5">
        <v>182330</v>
      </c>
      <c r="H393" s="2" t="s">
        <v>838</v>
      </c>
      <c r="I393" s="5">
        <v>20902</v>
      </c>
      <c r="J393" s="2" t="s">
        <v>833</v>
      </c>
      <c r="K393" s="5">
        <v>8277</v>
      </c>
      <c r="L393" s="4" t="s">
        <v>833</v>
      </c>
      <c r="M393" s="5">
        <v>6213</v>
      </c>
      <c r="N393" s="2" t="s">
        <v>876</v>
      </c>
      <c r="O393" s="5">
        <v>285</v>
      </c>
      <c r="P393" s="2" t="s">
        <v>818</v>
      </c>
      <c r="Q393" s="5">
        <v>1857</v>
      </c>
      <c r="R393" s="2"/>
      <c r="T393" s="2"/>
    </row>
    <row r="394" spans="1:20" x14ac:dyDescent="0.2">
      <c r="A394" s="103"/>
      <c r="B394" s="28" t="s">
        <v>486</v>
      </c>
      <c r="C394" s="22" t="s">
        <v>818</v>
      </c>
      <c r="D394" s="2" t="s">
        <v>818</v>
      </c>
      <c r="E394" s="5">
        <v>442</v>
      </c>
      <c r="F394" s="2" t="b">
        <v>1</v>
      </c>
      <c r="G394" s="5">
        <v>45493</v>
      </c>
      <c r="H394" s="2" t="s">
        <v>818</v>
      </c>
      <c r="I394" s="5">
        <v>3416</v>
      </c>
      <c r="J394" s="2" t="b">
        <v>1</v>
      </c>
      <c r="K394" s="5">
        <v>2314</v>
      </c>
      <c r="L394" s="4" t="b">
        <v>1</v>
      </c>
      <c r="M394" s="5">
        <v>4627</v>
      </c>
      <c r="N394" s="2" t="s">
        <v>823</v>
      </c>
      <c r="O394" s="5">
        <v>297</v>
      </c>
      <c r="P394" s="2" t="s">
        <v>818</v>
      </c>
      <c r="Q394" s="5">
        <v>2064</v>
      </c>
      <c r="R394" s="2"/>
      <c r="T394" s="2"/>
    </row>
    <row r="395" spans="1:20" x14ac:dyDescent="0.2">
      <c r="A395" s="103"/>
      <c r="B395" s="28" t="s">
        <v>485</v>
      </c>
      <c r="C395" s="22" t="s">
        <v>818</v>
      </c>
      <c r="D395" s="2" t="s">
        <v>818</v>
      </c>
      <c r="E395" s="5">
        <v>448</v>
      </c>
      <c r="F395" s="2" t="b">
        <v>1</v>
      </c>
      <c r="G395" s="5">
        <v>258681</v>
      </c>
      <c r="H395" s="2" t="s">
        <v>818</v>
      </c>
      <c r="I395" s="5">
        <v>8896</v>
      </c>
      <c r="J395" s="2" t="b">
        <v>1</v>
      </c>
      <c r="K395" s="5">
        <v>2823</v>
      </c>
      <c r="L395" s="4" t="b">
        <v>1</v>
      </c>
      <c r="M395" s="5">
        <v>6307</v>
      </c>
      <c r="N395" s="2" t="s">
        <v>876</v>
      </c>
      <c r="O395" s="5">
        <v>283</v>
      </c>
      <c r="P395" s="2" t="s">
        <v>818</v>
      </c>
      <c r="Q395" s="5">
        <v>22817</v>
      </c>
      <c r="R395" s="2"/>
      <c r="T395" s="2"/>
    </row>
    <row r="396" spans="1:20" x14ac:dyDescent="0.2">
      <c r="A396" s="103"/>
      <c r="B396" s="28" t="s">
        <v>484</v>
      </c>
      <c r="C396" s="22" t="s">
        <v>818</v>
      </c>
      <c r="D396" s="2" t="s">
        <v>818</v>
      </c>
      <c r="E396" s="5">
        <v>5324</v>
      </c>
      <c r="F396" s="2" t="b">
        <v>1</v>
      </c>
      <c r="G396" s="5">
        <v>201221</v>
      </c>
      <c r="H396" s="64" t="s">
        <v>837</v>
      </c>
      <c r="I396" s="5">
        <v>910045</v>
      </c>
      <c r="J396" s="2" t="b">
        <v>1</v>
      </c>
      <c r="K396" s="5">
        <v>5983</v>
      </c>
      <c r="L396" s="4" t="b">
        <v>1</v>
      </c>
      <c r="M396" s="5">
        <v>35054</v>
      </c>
      <c r="N396" s="2" t="s">
        <v>823</v>
      </c>
      <c r="O396" s="5">
        <v>2592</v>
      </c>
      <c r="P396" s="2" t="s">
        <v>818</v>
      </c>
      <c r="Q396" s="5">
        <v>13763</v>
      </c>
      <c r="R396" s="2"/>
      <c r="T396" s="2"/>
    </row>
    <row r="397" spans="1:20" x14ac:dyDescent="0.2">
      <c r="A397" s="103"/>
      <c r="B397" s="28" t="s">
        <v>483</v>
      </c>
      <c r="C397" s="22" t="s">
        <v>820</v>
      </c>
      <c r="D397" s="2" t="s">
        <v>820</v>
      </c>
      <c r="E397" s="5">
        <v>728</v>
      </c>
      <c r="F397" s="2" t="b">
        <v>0</v>
      </c>
      <c r="G397" s="5">
        <v>2028</v>
      </c>
      <c r="H397" s="76" t="s">
        <v>820</v>
      </c>
      <c r="I397" s="5">
        <v>900195</v>
      </c>
      <c r="J397" s="2" t="b">
        <v>0</v>
      </c>
      <c r="K397" s="5">
        <v>2314</v>
      </c>
      <c r="L397" s="4" t="s">
        <v>833</v>
      </c>
      <c r="M397" s="5">
        <v>901077</v>
      </c>
      <c r="N397" s="2" t="s">
        <v>823</v>
      </c>
      <c r="O397" s="5">
        <v>437</v>
      </c>
      <c r="P397" s="2" t="s">
        <v>820</v>
      </c>
      <c r="Q397" s="5">
        <v>2529</v>
      </c>
      <c r="R397" s="2"/>
      <c r="S397" s="85"/>
      <c r="T397" s="2"/>
    </row>
    <row r="398" spans="1:20" x14ac:dyDescent="0.2">
      <c r="A398" s="103"/>
      <c r="B398" s="28" t="s">
        <v>482</v>
      </c>
      <c r="C398" s="22" t="s">
        <v>818</v>
      </c>
      <c r="D398" s="2" t="s">
        <v>818</v>
      </c>
      <c r="E398" s="5">
        <v>411</v>
      </c>
      <c r="F398" s="2" t="b">
        <v>1</v>
      </c>
      <c r="G398" s="5">
        <v>182253</v>
      </c>
      <c r="H398" s="2" t="s">
        <v>818</v>
      </c>
      <c r="I398" s="5">
        <v>7590</v>
      </c>
      <c r="J398" s="2" t="b">
        <v>1</v>
      </c>
      <c r="K398" s="5">
        <v>2762</v>
      </c>
      <c r="L398" s="4" t="b">
        <v>1</v>
      </c>
      <c r="M398" s="5">
        <v>5751</v>
      </c>
      <c r="N398" s="2" t="s">
        <v>876</v>
      </c>
      <c r="O398" s="5">
        <v>310</v>
      </c>
      <c r="P398" s="2" t="s">
        <v>818</v>
      </c>
      <c r="Q398" s="5">
        <v>1456</v>
      </c>
      <c r="R398" s="2"/>
      <c r="T398" s="2"/>
    </row>
    <row r="399" spans="1:20" x14ac:dyDescent="0.2">
      <c r="A399" s="103"/>
      <c r="B399" s="28" t="s">
        <v>481</v>
      </c>
      <c r="C399" s="22" t="s">
        <v>818</v>
      </c>
      <c r="D399" s="2" t="s">
        <v>818</v>
      </c>
      <c r="E399" s="5">
        <v>549</v>
      </c>
      <c r="F399" s="2" t="b">
        <v>1</v>
      </c>
      <c r="G399" s="5">
        <v>182304</v>
      </c>
      <c r="H399" s="2" t="s">
        <v>818</v>
      </c>
      <c r="I399" s="5">
        <v>5886</v>
      </c>
      <c r="J399" s="2" t="b">
        <v>1</v>
      </c>
      <c r="K399" s="5">
        <v>2795</v>
      </c>
      <c r="L399" s="4" t="b">
        <v>1</v>
      </c>
      <c r="M399" s="5">
        <v>5916</v>
      </c>
      <c r="N399" s="2" t="s">
        <v>876</v>
      </c>
      <c r="O399" s="5">
        <v>368</v>
      </c>
      <c r="P399" s="2" t="s">
        <v>818</v>
      </c>
      <c r="Q399" s="5">
        <v>2630</v>
      </c>
      <c r="R399" s="2"/>
      <c r="T399" s="2"/>
    </row>
    <row r="400" spans="1:20" x14ac:dyDescent="0.2">
      <c r="A400" s="103"/>
      <c r="B400" s="28" t="s">
        <v>480</v>
      </c>
      <c r="C400" s="22" t="s">
        <v>818</v>
      </c>
      <c r="D400" s="2" t="s">
        <v>818</v>
      </c>
      <c r="E400" s="5">
        <v>480</v>
      </c>
      <c r="F400" s="2" t="b">
        <v>1</v>
      </c>
      <c r="G400" s="5">
        <v>182335</v>
      </c>
      <c r="H400" s="2" t="s">
        <v>818</v>
      </c>
      <c r="I400" s="5">
        <v>6386</v>
      </c>
      <c r="J400" s="2" t="b">
        <v>1</v>
      </c>
      <c r="K400" s="5">
        <v>3464</v>
      </c>
      <c r="L400" s="4" t="s">
        <v>833</v>
      </c>
      <c r="M400" s="5">
        <v>6333</v>
      </c>
      <c r="N400" s="2" t="s">
        <v>823</v>
      </c>
      <c r="O400" s="5">
        <v>537</v>
      </c>
      <c r="P400" s="2" t="s">
        <v>818</v>
      </c>
      <c r="Q400" s="5">
        <v>1766</v>
      </c>
      <c r="R400" s="2"/>
      <c r="T400" s="2"/>
    </row>
    <row r="401" spans="1:20" x14ac:dyDescent="0.2">
      <c r="A401" s="103"/>
      <c r="B401" s="28" t="s">
        <v>479</v>
      </c>
      <c r="C401" s="22" t="s">
        <v>818</v>
      </c>
      <c r="D401" s="2" t="s">
        <v>818</v>
      </c>
      <c r="E401" s="5">
        <v>617</v>
      </c>
      <c r="F401" s="2" t="b">
        <v>1</v>
      </c>
      <c r="G401" s="5">
        <v>182294</v>
      </c>
      <c r="H401" s="2" t="s">
        <v>818</v>
      </c>
      <c r="I401" s="5">
        <v>6280</v>
      </c>
      <c r="J401" s="2" t="b">
        <v>1</v>
      </c>
      <c r="K401" s="5">
        <v>3127</v>
      </c>
      <c r="L401" s="4" t="b">
        <v>1</v>
      </c>
      <c r="M401" s="5">
        <v>6592</v>
      </c>
      <c r="N401" s="2" t="s">
        <v>876</v>
      </c>
      <c r="O401" s="5">
        <v>345</v>
      </c>
      <c r="P401" s="2" t="s">
        <v>818</v>
      </c>
      <c r="Q401" s="5">
        <v>2497</v>
      </c>
      <c r="R401" s="2"/>
      <c r="T401" s="2"/>
    </row>
    <row r="402" spans="1:20" x14ac:dyDescent="0.2">
      <c r="A402" s="103"/>
      <c r="B402" s="28" t="s">
        <v>478</v>
      </c>
      <c r="C402" s="22" t="s">
        <v>818</v>
      </c>
      <c r="D402" s="2" t="s">
        <v>818</v>
      </c>
      <c r="E402" s="5">
        <v>526</v>
      </c>
      <c r="F402" s="2" t="b">
        <v>1</v>
      </c>
      <c r="G402" s="5">
        <v>183634</v>
      </c>
      <c r="H402" s="2" t="s">
        <v>818</v>
      </c>
      <c r="I402" s="5">
        <v>6182</v>
      </c>
      <c r="J402" s="2" t="b">
        <v>1</v>
      </c>
      <c r="K402" s="5">
        <v>2816</v>
      </c>
      <c r="L402" s="4" t="b">
        <v>1</v>
      </c>
      <c r="M402" s="5">
        <v>6980</v>
      </c>
      <c r="N402" s="2" t="s">
        <v>823</v>
      </c>
      <c r="O402" s="5">
        <v>667</v>
      </c>
      <c r="P402" s="2" t="s">
        <v>818</v>
      </c>
      <c r="Q402" s="5">
        <v>9528</v>
      </c>
      <c r="R402" s="2"/>
      <c r="T402" s="2"/>
    </row>
    <row r="403" spans="1:20" x14ac:dyDescent="0.2">
      <c r="A403" s="103"/>
      <c r="B403" s="28" t="s">
        <v>477</v>
      </c>
      <c r="C403" s="22" t="s">
        <v>820</v>
      </c>
      <c r="D403" s="2" t="s">
        <v>820</v>
      </c>
      <c r="E403" s="5">
        <v>510</v>
      </c>
      <c r="F403" s="2" t="s">
        <v>883</v>
      </c>
      <c r="G403" s="5">
        <v>301827</v>
      </c>
      <c r="H403" s="76" t="s">
        <v>820</v>
      </c>
      <c r="I403" s="5">
        <v>910028</v>
      </c>
      <c r="J403" s="2" t="s">
        <v>833</v>
      </c>
      <c r="K403" s="5">
        <v>9702</v>
      </c>
      <c r="L403" s="4" t="s">
        <v>833</v>
      </c>
      <c r="M403" s="5">
        <v>5978</v>
      </c>
      <c r="N403" s="2" t="s">
        <v>823</v>
      </c>
      <c r="O403" s="5">
        <v>1863</v>
      </c>
      <c r="P403" s="64" t="s">
        <v>837</v>
      </c>
      <c r="Q403" s="5">
        <v>910062</v>
      </c>
      <c r="R403" s="2"/>
      <c r="T403" s="2"/>
    </row>
    <row r="404" spans="1:20" x14ac:dyDescent="0.2">
      <c r="A404" s="103"/>
      <c r="B404" s="28" t="s">
        <v>476</v>
      </c>
      <c r="C404" s="22" t="s">
        <v>820</v>
      </c>
      <c r="D404" s="2" t="s">
        <v>820</v>
      </c>
      <c r="E404" s="5">
        <v>425</v>
      </c>
      <c r="F404" s="2" t="b">
        <v>1</v>
      </c>
      <c r="G404" s="5">
        <v>39739</v>
      </c>
      <c r="H404" s="75" t="s">
        <v>820</v>
      </c>
      <c r="I404" s="5">
        <v>6436</v>
      </c>
      <c r="J404" s="2" t="b">
        <v>0</v>
      </c>
      <c r="K404" s="5">
        <v>2570</v>
      </c>
      <c r="L404" s="4" t="s">
        <v>833</v>
      </c>
      <c r="M404" s="5">
        <v>16242</v>
      </c>
      <c r="N404" s="2" t="s">
        <v>823</v>
      </c>
      <c r="O404" s="5">
        <v>681</v>
      </c>
      <c r="P404" s="2" t="s">
        <v>820</v>
      </c>
      <c r="Q404" s="5">
        <v>2296</v>
      </c>
      <c r="R404" s="2"/>
      <c r="T404" s="2"/>
    </row>
    <row r="405" spans="1:20" x14ac:dyDescent="0.2">
      <c r="A405" s="103"/>
      <c r="B405" s="28" t="s">
        <v>475</v>
      </c>
      <c r="C405" s="22" t="s">
        <v>818</v>
      </c>
      <c r="D405" s="2" t="s">
        <v>818</v>
      </c>
      <c r="E405" s="5">
        <v>552</v>
      </c>
      <c r="F405" s="2" t="b">
        <v>1</v>
      </c>
      <c r="G405" s="5">
        <v>182308</v>
      </c>
      <c r="H405" s="2" t="s">
        <v>818</v>
      </c>
      <c r="I405" s="5">
        <v>4818</v>
      </c>
      <c r="J405" s="2" t="b">
        <v>1</v>
      </c>
      <c r="K405" s="5">
        <v>5055</v>
      </c>
      <c r="L405" s="4" t="s">
        <v>833</v>
      </c>
      <c r="M405" s="5">
        <v>8300</v>
      </c>
      <c r="N405" s="2" t="s">
        <v>823</v>
      </c>
      <c r="O405" s="5">
        <v>425</v>
      </c>
      <c r="P405" s="2" t="s">
        <v>818</v>
      </c>
      <c r="Q405" s="5">
        <v>4474</v>
      </c>
      <c r="R405" s="2"/>
      <c r="T405" s="2"/>
    </row>
    <row r="406" spans="1:20" x14ac:dyDescent="0.2">
      <c r="A406" s="103"/>
      <c r="B406" s="28" t="s">
        <v>474</v>
      </c>
      <c r="C406" s="22" t="s">
        <v>818</v>
      </c>
      <c r="D406" s="2" t="s">
        <v>818</v>
      </c>
      <c r="E406" s="5">
        <v>451</v>
      </c>
      <c r="F406" s="2" t="b">
        <v>1</v>
      </c>
      <c r="G406" s="5">
        <v>183194</v>
      </c>
      <c r="H406" s="2" t="s">
        <v>818</v>
      </c>
      <c r="I406" s="5">
        <v>5512</v>
      </c>
      <c r="J406" s="2" t="b">
        <v>1</v>
      </c>
      <c r="K406" s="5">
        <v>4417</v>
      </c>
      <c r="L406" s="4" t="b">
        <v>1</v>
      </c>
      <c r="M406" s="5">
        <v>6990</v>
      </c>
      <c r="N406" s="2" t="s">
        <v>876</v>
      </c>
      <c r="O406" s="5">
        <v>483</v>
      </c>
      <c r="P406" s="2" t="s">
        <v>818</v>
      </c>
      <c r="Q406" s="5">
        <v>2263</v>
      </c>
      <c r="R406" s="2"/>
      <c r="T406" s="2"/>
    </row>
    <row r="407" spans="1:20" x14ac:dyDescent="0.2">
      <c r="A407" s="103"/>
      <c r="B407" s="28" t="s">
        <v>473</v>
      </c>
      <c r="C407" s="22" t="s">
        <v>818</v>
      </c>
      <c r="D407" s="2" t="s">
        <v>818</v>
      </c>
      <c r="E407" s="5">
        <v>425</v>
      </c>
      <c r="F407" s="2" t="b">
        <v>1</v>
      </c>
      <c r="G407" s="5">
        <v>182972</v>
      </c>
      <c r="H407" s="2" t="s">
        <v>818</v>
      </c>
      <c r="I407" s="5">
        <v>8579</v>
      </c>
      <c r="J407" s="2" t="b">
        <v>1</v>
      </c>
      <c r="K407" s="5">
        <v>3504</v>
      </c>
      <c r="L407" s="4" t="b">
        <v>1</v>
      </c>
      <c r="M407" s="5">
        <v>6810</v>
      </c>
      <c r="N407" s="2" t="s">
        <v>823</v>
      </c>
      <c r="O407" s="5">
        <v>2666</v>
      </c>
      <c r="P407" s="2" t="s">
        <v>818</v>
      </c>
      <c r="Q407" s="5">
        <v>1616</v>
      </c>
      <c r="R407" s="2"/>
      <c r="T407" s="2"/>
    </row>
    <row r="408" spans="1:20" x14ac:dyDescent="0.2">
      <c r="A408" s="103"/>
      <c r="B408" s="28" t="s">
        <v>472</v>
      </c>
      <c r="C408" s="61" t="s">
        <v>818</v>
      </c>
      <c r="D408" s="2" t="s">
        <v>818</v>
      </c>
      <c r="E408" s="5">
        <v>637</v>
      </c>
      <c r="F408" s="2" t="b">
        <v>0</v>
      </c>
      <c r="G408" s="5">
        <v>6263</v>
      </c>
      <c r="H408" s="2" t="s">
        <v>838</v>
      </c>
      <c r="I408" s="5">
        <v>158234</v>
      </c>
      <c r="J408" s="2" t="s">
        <v>833</v>
      </c>
      <c r="K408" s="5">
        <v>10277</v>
      </c>
      <c r="L408" s="4" t="s">
        <v>833</v>
      </c>
      <c r="M408" s="5">
        <v>6361</v>
      </c>
      <c r="N408" s="2" t="s">
        <v>823</v>
      </c>
      <c r="O408" s="5">
        <v>645</v>
      </c>
      <c r="P408" s="2" t="s">
        <v>818</v>
      </c>
      <c r="Q408" s="5">
        <v>4274</v>
      </c>
      <c r="R408" s="2"/>
      <c r="T408" s="2"/>
    </row>
    <row r="409" spans="1:20" x14ac:dyDescent="0.2">
      <c r="A409" s="103"/>
      <c r="B409" s="28" t="s">
        <v>471</v>
      </c>
      <c r="C409" s="22" t="s">
        <v>820</v>
      </c>
      <c r="D409" s="2" t="s">
        <v>820</v>
      </c>
      <c r="E409" s="5">
        <v>418</v>
      </c>
      <c r="F409" s="2" t="b">
        <v>0</v>
      </c>
      <c r="G409" s="5">
        <v>2028</v>
      </c>
      <c r="H409" s="75" t="s">
        <v>820</v>
      </c>
      <c r="I409" s="5">
        <v>5739</v>
      </c>
      <c r="J409" s="2" t="b">
        <v>0</v>
      </c>
      <c r="K409" s="5">
        <v>2262</v>
      </c>
      <c r="L409" s="4" t="s">
        <v>833</v>
      </c>
      <c r="M409" s="5">
        <v>901011</v>
      </c>
      <c r="N409" s="2" t="s">
        <v>877</v>
      </c>
      <c r="O409" s="5">
        <v>285</v>
      </c>
      <c r="P409" s="2" t="s">
        <v>820</v>
      </c>
      <c r="Q409" s="5">
        <v>1995</v>
      </c>
      <c r="R409" s="2"/>
      <c r="T409" s="2"/>
    </row>
    <row r="410" spans="1:20" x14ac:dyDescent="0.2">
      <c r="A410" s="103"/>
      <c r="B410" s="28" t="s">
        <v>470</v>
      </c>
      <c r="C410" s="22" t="s">
        <v>820</v>
      </c>
      <c r="D410" s="2" t="s">
        <v>820</v>
      </c>
      <c r="E410" s="5">
        <v>428</v>
      </c>
      <c r="F410" s="2" t="b">
        <v>0</v>
      </c>
      <c r="G410" s="5">
        <v>2620</v>
      </c>
      <c r="H410" s="75" t="s">
        <v>820</v>
      </c>
      <c r="I410" s="5">
        <v>4817</v>
      </c>
      <c r="J410" s="2" t="b">
        <v>0</v>
      </c>
      <c r="K410" s="5">
        <v>2383</v>
      </c>
      <c r="L410" s="4" t="s">
        <v>833</v>
      </c>
      <c r="M410" s="5">
        <v>5267</v>
      </c>
      <c r="N410" s="2" t="s">
        <v>877</v>
      </c>
      <c r="O410" s="5">
        <v>287</v>
      </c>
      <c r="P410" s="2" t="s">
        <v>820</v>
      </c>
      <c r="Q410" s="5">
        <v>1594</v>
      </c>
      <c r="R410" s="2"/>
      <c r="T410" s="2"/>
    </row>
    <row r="411" spans="1:20" x14ac:dyDescent="0.2">
      <c r="A411" s="103"/>
      <c r="B411" s="28" t="s">
        <v>469</v>
      </c>
      <c r="C411" s="22" t="s">
        <v>820</v>
      </c>
      <c r="D411" s="2" t="s">
        <v>820</v>
      </c>
      <c r="E411" s="5">
        <v>417</v>
      </c>
      <c r="F411" s="2" t="s">
        <v>883</v>
      </c>
      <c r="G411" s="5">
        <v>301976</v>
      </c>
      <c r="H411" s="75" t="s">
        <v>820</v>
      </c>
      <c r="I411" s="5">
        <v>5410</v>
      </c>
      <c r="J411" s="2" t="b">
        <v>0</v>
      </c>
      <c r="K411" s="5">
        <v>2463</v>
      </c>
      <c r="L411" s="4" t="s">
        <v>833</v>
      </c>
      <c r="M411" s="5">
        <v>901015</v>
      </c>
      <c r="N411" s="2" t="s">
        <v>823</v>
      </c>
      <c r="O411" s="5">
        <v>386</v>
      </c>
      <c r="P411" s="2" t="s">
        <v>820</v>
      </c>
      <c r="Q411" s="5">
        <v>1702</v>
      </c>
      <c r="R411" s="2"/>
      <c r="T411" s="2"/>
    </row>
    <row r="412" spans="1:20" x14ac:dyDescent="0.2">
      <c r="A412" s="103"/>
      <c r="B412" s="28" t="s">
        <v>468</v>
      </c>
      <c r="C412" s="22" t="s">
        <v>820</v>
      </c>
      <c r="D412" s="2" t="s">
        <v>820</v>
      </c>
      <c r="E412" s="5">
        <v>398</v>
      </c>
      <c r="F412" s="2" t="s">
        <v>883</v>
      </c>
      <c r="G412" s="5">
        <v>301768</v>
      </c>
      <c r="H412" s="75" t="s">
        <v>820</v>
      </c>
      <c r="I412" s="5">
        <v>4993</v>
      </c>
      <c r="J412" s="2" t="b">
        <v>0</v>
      </c>
      <c r="K412" s="5">
        <v>2469</v>
      </c>
      <c r="L412" s="4" t="s">
        <v>833</v>
      </c>
      <c r="M412" s="5">
        <v>5037</v>
      </c>
      <c r="N412" s="2" t="s">
        <v>877</v>
      </c>
      <c r="O412" s="5">
        <v>245</v>
      </c>
      <c r="P412" s="2" t="s">
        <v>820</v>
      </c>
      <c r="Q412" s="5">
        <v>1912</v>
      </c>
      <c r="R412" s="2"/>
      <c r="T412" s="2"/>
    </row>
    <row r="413" spans="1:20" x14ac:dyDescent="0.2">
      <c r="A413" s="103"/>
      <c r="B413" s="28" t="s">
        <v>467</v>
      </c>
      <c r="C413" s="22" t="s">
        <v>818</v>
      </c>
      <c r="D413" s="2" t="s">
        <v>818</v>
      </c>
      <c r="E413" s="5">
        <v>441</v>
      </c>
      <c r="F413" s="2" t="b">
        <v>1</v>
      </c>
      <c r="G413" s="5">
        <v>187010</v>
      </c>
      <c r="H413" s="2" t="s">
        <v>818</v>
      </c>
      <c r="I413" s="5">
        <v>7930</v>
      </c>
      <c r="J413" s="2" t="b">
        <v>1</v>
      </c>
      <c r="K413" s="5">
        <v>3591</v>
      </c>
      <c r="L413" s="4" t="s">
        <v>833</v>
      </c>
      <c r="M413" s="5">
        <v>5717</v>
      </c>
      <c r="N413" s="2" t="s">
        <v>876</v>
      </c>
      <c r="O413" s="5">
        <v>358</v>
      </c>
      <c r="P413" s="2" t="s">
        <v>818</v>
      </c>
      <c r="Q413" s="5">
        <v>4673</v>
      </c>
      <c r="R413" s="2"/>
      <c r="T413" s="2"/>
    </row>
    <row r="414" spans="1:20" x14ac:dyDescent="0.2">
      <c r="A414" s="103"/>
      <c r="B414" s="28" t="s">
        <v>466</v>
      </c>
      <c r="C414" s="22" t="s">
        <v>818</v>
      </c>
      <c r="D414" s="2" t="s">
        <v>818</v>
      </c>
      <c r="E414" s="5">
        <v>1456</v>
      </c>
      <c r="F414" s="2" t="b">
        <v>1</v>
      </c>
      <c r="G414" s="5">
        <v>182954</v>
      </c>
      <c r="H414" s="2" t="s">
        <v>818</v>
      </c>
      <c r="I414" s="5">
        <v>6898</v>
      </c>
      <c r="J414" s="2" t="b">
        <v>1</v>
      </c>
      <c r="K414" s="5">
        <v>3746</v>
      </c>
      <c r="L414" s="4" t="s">
        <v>833</v>
      </c>
      <c r="M414" s="5">
        <v>6758</v>
      </c>
      <c r="N414" s="2" t="s">
        <v>876</v>
      </c>
      <c r="O414" s="5">
        <v>592</v>
      </c>
      <c r="P414" s="2" t="s">
        <v>818</v>
      </c>
      <c r="Q414" s="5">
        <v>8905</v>
      </c>
      <c r="R414" s="2"/>
      <c r="T414" s="2"/>
    </row>
    <row r="415" spans="1:20" x14ac:dyDescent="0.2">
      <c r="A415" s="103"/>
      <c r="B415" s="28" t="s">
        <v>465</v>
      </c>
      <c r="C415" s="61" t="s">
        <v>818</v>
      </c>
      <c r="D415" s="2" t="s">
        <v>818</v>
      </c>
      <c r="E415" s="5">
        <v>28539</v>
      </c>
      <c r="F415" s="2" t="b">
        <v>1</v>
      </c>
      <c r="G415" s="5">
        <v>183126</v>
      </c>
      <c r="H415" s="2" t="s">
        <v>838</v>
      </c>
      <c r="I415" s="5">
        <v>32044</v>
      </c>
      <c r="J415" s="2" t="s">
        <v>833</v>
      </c>
      <c r="K415" s="5">
        <v>9353</v>
      </c>
      <c r="L415" s="4" t="s">
        <v>833</v>
      </c>
      <c r="M415" s="5">
        <v>6422</v>
      </c>
      <c r="N415" s="2" t="s">
        <v>823</v>
      </c>
      <c r="O415" s="5">
        <v>341</v>
      </c>
      <c r="P415" s="64" t="s">
        <v>837</v>
      </c>
      <c r="Q415" s="5">
        <v>910065</v>
      </c>
      <c r="R415" s="2"/>
      <c r="T415" s="2"/>
    </row>
    <row r="416" spans="1:20" x14ac:dyDescent="0.2">
      <c r="A416" s="103"/>
      <c r="B416" s="28" t="s">
        <v>464</v>
      </c>
      <c r="C416" s="22" t="s">
        <v>818</v>
      </c>
      <c r="D416" s="2" t="s">
        <v>818</v>
      </c>
      <c r="E416" s="5">
        <v>43596</v>
      </c>
      <c r="F416" s="2" t="b">
        <v>1</v>
      </c>
      <c r="G416" s="5">
        <v>286002</v>
      </c>
      <c r="H416" s="2" t="s">
        <v>818</v>
      </c>
      <c r="I416" s="5">
        <v>7700</v>
      </c>
      <c r="J416" s="2" t="b">
        <v>1</v>
      </c>
      <c r="K416" s="5">
        <v>5529</v>
      </c>
      <c r="L416" s="4" t="s">
        <v>833</v>
      </c>
      <c r="M416" s="5">
        <v>907784</v>
      </c>
      <c r="N416" s="2" t="s">
        <v>876</v>
      </c>
      <c r="O416" s="5">
        <v>301</v>
      </c>
      <c r="P416" s="64" t="s">
        <v>837</v>
      </c>
      <c r="Q416" s="5">
        <v>910092</v>
      </c>
      <c r="R416" s="2"/>
      <c r="T416" s="2"/>
    </row>
    <row r="417" spans="1:20" x14ac:dyDescent="0.2">
      <c r="A417" s="103"/>
      <c r="B417" s="28" t="s">
        <v>463</v>
      </c>
      <c r="C417" s="22" t="s">
        <v>818</v>
      </c>
      <c r="D417" s="2" t="s">
        <v>818</v>
      </c>
      <c r="E417" s="5">
        <v>4347</v>
      </c>
      <c r="F417" s="2" t="b">
        <v>1</v>
      </c>
      <c r="G417" s="5">
        <v>182303</v>
      </c>
      <c r="H417" s="2" t="s">
        <v>819</v>
      </c>
      <c r="I417" s="5">
        <v>8029</v>
      </c>
      <c r="J417" s="2" t="b">
        <v>1</v>
      </c>
      <c r="K417" s="5">
        <v>3012</v>
      </c>
      <c r="L417" s="4" t="b">
        <v>1</v>
      </c>
      <c r="M417" s="5">
        <v>6542</v>
      </c>
      <c r="N417" s="2" t="s">
        <v>823</v>
      </c>
      <c r="O417" s="5">
        <v>440</v>
      </c>
      <c r="P417" s="2" t="s">
        <v>818</v>
      </c>
      <c r="Q417" s="5">
        <v>7430</v>
      </c>
      <c r="R417" s="2"/>
      <c r="T417" s="2"/>
    </row>
    <row r="418" spans="1:20" x14ac:dyDescent="0.2">
      <c r="A418" s="103"/>
      <c r="B418" s="28" t="s">
        <v>462</v>
      </c>
      <c r="C418" s="22" t="s">
        <v>820</v>
      </c>
      <c r="D418" s="2" t="s">
        <v>820</v>
      </c>
      <c r="E418" s="5">
        <v>443</v>
      </c>
      <c r="F418" s="2" t="s">
        <v>883</v>
      </c>
      <c r="G418" s="5">
        <v>301817</v>
      </c>
      <c r="H418" s="75" t="s">
        <v>820</v>
      </c>
      <c r="I418" s="5">
        <v>15547</v>
      </c>
      <c r="J418" s="2" t="b">
        <v>0</v>
      </c>
      <c r="K418" s="5">
        <v>2562</v>
      </c>
      <c r="L418" s="4" t="s">
        <v>833</v>
      </c>
      <c r="M418" s="5">
        <v>901010</v>
      </c>
      <c r="N418" s="2" t="s">
        <v>823</v>
      </c>
      <c r="O418" s="5">
        <v>3677</v>
      </c>
      <c r="P418" s="2" t="s">
        <v>820</v>
      </c>
      <c r="Q418" s="5">
        <v>1705</v>
      </c>
      <c r="R418" s="2"/>
      <c r="T418" s="2"/>
    </row>
    <row r="419" spans="1:20" x14ac:dyDescent="0.2">
      <c r="A419" s="103"/>
      <c r="B419" s="28" t="s">
        <v>461</v>
      </c>
      <c r="C419" s="22" t="s">
        <v>818</v>
      </c>
      <c r="D419" s="2" t="s">
        <v>818</v>
      </c>
      <c r="E419" s="5">
        <v>1073</v>
      </c>
      <c r="F419" s="2" t="b">
        <v>1</v>
      </c>
      <c r="G419" s="5">
        <v>182359</v>
      </c>
      <c r="H419" s="2" t="s">
        <v>818</v>
      </c>
      <c r="I419" s="5">
        <v>36027</v>
      </c>
      <c r="J419" s="2" t="b">
        <v>1</v>
      </c>
      <c r="K419" s="5">
        <v>24758</v>
      </c>
      <c r="L419" s="4" t="b">
        <v>1</v>
      </c>
      <c r="M419" s="5">
        <v>7909</v>
      </c>
      <c r="N419" s="2" t="s">
        <v>823</v>
      </c>
      <c r="O419" s="5">
        <v>1528</v>
      </c>
      <c r="P419" s="2" t="s">
        <v>818</v>
      </c>
      <c r="Q419" s="5">
        <v>2957</v>
      </c>
      <c r="R419" s="2"/>
      <c r="T419" s="2"/>
    </row>
    <row r="420" spans="1:20" x14ac:dyDescent="0.2">
      <c r="A420" s="103"/>
      <c r="B420" s="28" t="s">
        <v>460</v>
      </c>
      <c r="C420" s="22" t="s">
        <v>818</v>
      </c>
      <c r="D420" s="2" t="s">
        <v>818</v>
      </c>
      <c r="E420" s="5">
        <v>479</v>
      </c>
      <c r="F420" s="2" t="b">
        <v>1</v>
      </c>
      <c r="G420" s="5">
        <v>44598</v>
      </c>
      <c r="H420" s="2" t="s">
        <v>818</v>
      </c>
      <c r="I420" s="5">
        <v>3237</v>
      </c>
      <c r="J420" s="2" t="b">
        <v>1</v>
      </c>
      <c r="K420" s="5">
        <v>3480</v>
      </c>
      <c r="L420" s="4" t="b">
        <v>1</v>
      </c>
      <c r="M420" s="5">
        <v>6099</v>
      </c>
      <c r="N420" s="2" t="s">
        <v>823</v>
      </c>
      <c r="O420" s="5">
        <v>489</v>
      </c>
      <c r="P420" s="2" t="s">
        <v>818</v>
      </c>
      <c r="Q420" s="5">
        <v>1884</v>
      </c>
      <c r="R420" s="2"/>
      <c r="T420" s="2"/>
    </row>
    <row r="421" spans="1:20" x14ac:dyDescent="0.2">
      <c r="A421" s="103"/>
      <c r="B421" s="28" t="s">
        <v>459</v>
      </c>
      <c r="C421" s="22" t="s">
        <v>818</v>
      </c>
      <c r="D421" s="2" t="s">
        <v>818</v>
      </c>
      <c r="E421" s="5">
        <v>535</v>
      </c>
      <c r="F421" s="2" t="b">
        <v>1</v>
      </c>
      <c r="G421" s="5">
        <v>62568</v>
      </c>
      <c r="H421" s="2" t="s">
        <v>818</v>
      </c>
      <c r="I421" s="5">
        <v>5910</v>
      </c>
      <c r="J421" s="2" t="b">
        <v>1</v>
      </c>
      <c r="K421" s="5">
        <v>4215</v>
      </c>
      <c r="L421" s="4" t="b">
        <v>1</v>
      </c>
      <c r="M421" s="5">
        <v>7025</v>
      </c>
      <c r="N421" s="2" t="s">
        <v>821</v>
      </c>
      <c r="O421" s="5">
        <v>900244</v>
      </c>
      <c r="P421" s="2" t="s">
        <v>818</v>
      </c>
      <c r="Q421" s="5">
        <v>4169</v>
      </c>
      <c r="R421" s="2"/>
      <c r="T421" s="2"/>
    </row>
    <row r="422" spans="1:20" x14ac:dyDescent="0.2">
      <c r="A422" s="103"/>
      <c r="B422" s="28" t="s">
        <v>458</v>
      </c>
      <c r="C422" s="22" t="s">
        <v>818</v>
      </c>
      <c r="D422" s="2" t="s">
        <v>818</v>
      </c>
      <c r="E422" s="5">
        <v>629</v>
      </c>
      <c r="F422" s="2" t="b">
        <v>1</v>
      </c>
      <c r="G422" s="5">
        <v>184133</v>
      </c>
      <c r="H422" s="2" t="s">
        <v>818</v>
      </c>
      <c r="I422" s="5">
        <v>10613</v>
      </c>
      <c r="J422" s="2" t="b">
        <v>1</v>
      </c>
      <c r="K422" s="5">
        <v>3877</v>
      </c>
      <c r="L422" s="4" t="s">
        <v>833</v>
      </c>
      <c r="M422" s="5">
        <v>904241</v>
      </c>
      <c r="N422" s="2" t="s">
        <v>823</v>
      </c>
      <c r="O422" s="5">
        <v>720</v>
      </c>
      <c r="P422" s="2" t="s">
        <v>818</v>
      </c>
      <c r="Q422" s="5">
        <v>6803</v>
      </c>
      <c r="R422" s="2"/>
      <c r="T422" s="2"/>
    </row>
    <row r="423" spans="1:20" x14ac:dyDescent="0.2">
      <c r="A423" s="103"/>
      <c r="B423" s="28" t="s">
        <v>457</v>
      </c>
      <c r="C423" s="22" t="s">
        <v>820</v>
      </c>
      <c r="D423" s="2" t="s">
        <v>820</v>
      </c>
      <c r="E423" s="5">
        <v>622</v>
      </c>
      <c r="F423" s="2" t="b">
        <v>0</v>
      </c>
      <c r="G423" s="5">
        <v>2698</v>
      </c>
      <c r="H423" s="76" t="s">
        <v>820</v>
      </c>
      <c r="I423" s="5">
        <v>900162</v>
      </c>
      <c r="J423" s="2" t="s">
        <v>833</v>
      </c>
      <c r="K423" s="5">
        <v>8299</v>
      </c>
      <c r="L423" s="4" t="s">
        <v>833</v>
      </c>
      <c r="M423" s="5">
        <v>900993</v>
      </c>
      <c r="N423" s="2" t="s">
        <v>823</v>
      </c>
      <c r="O423" s="5">
        <v>327</v>
      </c>
      <c r="P423" s="2" t="s">
        <v>820</v>
      </c>
      <c r="Q423" s="5">
        <v>3638</v>
      </c>
      <c r="R423" s="2"/>
      <c r="T423" s="2"/>
    </row>
    <row r="424" spans="1:20" x14ac:dyDescent="0.2">
      <c r="A424" s="103"/>
      <c r="B424" s="28" t="s">
        <v>456</v>
      </c>
      <c r="C424" s="22" t="s">
        <v>820</v>
      </c>
      <c r="D424" s="2" t="s">
        <v>820</v>
      </c>
      <c r="E424" s="5">
        <v>415</v>
      </c>
      <c r="F424" s="2" t="b">
        <v>0</v>
      </c>
      <c r="G424" s="5">
        <v>2003</v>
      </c>
      <c r="H424" s="75" t="s">
        <v>820</v>
      </c>
      <c r="I424" s="5">
        <v>11930</v>
      </c>
      <c r="J424" s="2" t="b">
        <v>0</v>
      </c>
      <c r="K424" s="5">
        <v>3998</v>
      </c>
      <c r="L424" s="4" t="s">
        <v>833</v>
      </c>
      <c r="M424" s="5">
        <v>901079</v>
      </c>
      <c r="N424" s="2" t="s">
        <v>823</v>
      </c>
      <c r="O424" s="5">
        <v>283</v>
      </c>
      <c r="P424" s="2" t="s">
        <v>820</v>
      </c>
      <c r="Q424" s="5">
        <v>1830</v>
      </c>
      <c r="R424" s="2"/>
      <c r="T424" s="2"/>
    </row>
    <row r="425" spans="1:20" x14ac:dyDescent="0.2">
      <c r="A425" s="103"/>
      <c r="B425" s="28" t="s">
        <v>455</v>
      </c>
      <c r="C425" s="22" t="s">
        <v>818</v>
      </c>
      <c r="D425" s="2" t="s">
        <v>818</v>
      </c>
      <c r="E425" s="5">
        <v>406</v>
      </c>
      <c r="F425" s="2" t="b">
        <v>1</v>
      </c>
      <c r="G425" s="5">
        <v>182328</v>
      </c>
      <c r="H425" s="2" t="s">
        <v>818</v>
      </c>
      <c r="I425" s="5">
        <v>5420</v>
      </c>
      <c r="J425" s="2" t="b">
        <v>1</v>
      </c>
      <c r="K425" s="5">
        <v>2588</v>
      </c>
      <c r="L425" s="4" t="b">
        <v>1</v>
      </c>
      <c r="M425" s="5">
        <v>6023</v>
      </c>
      <c r="N425" s="2" t="s">
        <v>823</v>
      </c>
      <c r="O425" s="5">
        <v>598</v>
      </c>
      <c r="P425" s="2" t="s">
        <v>818</v>
      </c>
      <c r="Q425" s="5">
        <v>2121</v>
      </c>
      <c r="R425" s="2"/>
      <c r="T425" s="2"/>
    </row>
    <row r="426" spans="1:20" x14ac:dyDescent="0.2">
      <c r="A426" s="103"/>
      <c r="B426" s="28" t="s">
        <v>454</v>
      </c>
      <c r="C426" s="22" t="s">
        <v>820</v>
      </c>
      <c r="D426" s="2" t="s">
        <v>820</v>
      </c>
      <c r="E426" s="5">
        <v>165024</v>
      </c>
      <c r="F426" s="2" t="b">
        <v>0</v>
      </c>
      <c r="G426" s="5">
        <v>7161</v>
      </c>
      <c r="H426" s="2" t="s">
        <v>819</v>
      </c>
      <c r="I426" s="5">
        <v>207245</v>
      </c>
      <c r="J426" s="2" t="b">
        <v>0</v>
      </c>
      <c r="K426" s="5">
        <v>10180</v>
      </c>
      <c r="L426" s="4" t="s">
        <v>837</v>
      </c>
      <c r="M426" s="5">
        <v>911817</v>
      </c>
      <c r="N426" s="2" t="s">
        <v>823</v>
      </c>
      <c r="O426" s="5">
        <v>478</v>
      </c>
      <c r="P426" s="2" t="s">
        <v>820</v>
      </c>
      <c r="Q426" s="5">
        <v>897962</v>
      </c>
      <c r="R426" s="2"/>
      <c r="T426" s="2"/>
    </row>
    <row r="427" spans="1:20" x14ac:dyDescent="0.2">
      <c r="A427" s="103"/>
      <c r="B427" s="28" t="s">
        <v>453</v>
      </c>
      <c r="C427" s="22" t="s">
        <v>820</v>
      </c>
      <c r="D427" s="2" t="s">
        <v>820</v>
      </c>
      <c r="E427" s="5">
        <v>562</v>
      </c>
      <c r="F427" s="2" t="b">
        <v>0</v>
      </c>
      <c r="G427" s="5">
        <v>71583</v>
      </c>
      <c r="H427" s="2" t="s">
        <v>819</v>
      </c>
      <c r="I427" s="5">
        <v>17358</v>
      </c>
      <c r="J427" s="2" t="b">
        <v>0</v>
      </c>
      <c r="K427" s="5">
        <v>83063</v>
      </c>
      <c r="L427" s="4" t="s">
        <v>833</v>
      </c>
      <c r="M427" s="5">
        <v>905053</v>
      </c>
      <c r="N427" s="2" t="s">
        <v>823</v>
      </c>
      <c r="O427" s="5">
        <v>333</v>
      </c>
      <c r="P427" s="2" t="s">
        <v>820</v>
      </c>
      <c r="Q427" s="5">
        <v>6986</v>
      </c>
      <c r="R427" s="2"/>
      <c r="T427" s="2"/>
    </row>
    <row r="428" spans="1:20" x14ac:dyDescent="0.2">
      <c r="A428" s="103"/>
      <c r="B428" s="28" t="s">
        <v>452</v>
      </c>
      <c r="C428" s="22" t="s">
        <v>818</v>
      </c>
      <c r="D428" s="2" t="s">
        <v>818</v>
      </c>
      <c r="E428" s="5">
        <v>624</v>
      </c>
      <c r="F428" s="2" t="b">
        <v>1</v>
      </c>
      <c r="G428" s="5">
        <v>8377</v>
      </c>
      <c r="H428" s="2" t="s">
        <v>818</v>
      </c>
      <c r="I428" s="5">
        <v>5896</v>
      </c>
      <c r="J428" s="2" t="b">
        <v>1</v>
      </c>
      <c r="K428" s="5">
        <v>3214</v>
      </c>
      <c r="L428" s="4" t="b">
        <v>1</v>
      </c>
      <c r="M428" s="5">
        <v>8649</v>
      </c>
      <c r="N428" s="2" t="s">
        <v>876</v>
      </c>
      <c r="O428" s="5">
        <v>384</v>
      </c>
      <c r="P428" s="2" t="s">
        <v>818</v>
      </c>
      <c r="Q428" s="5">
        <v>10458</v>
      </c>
      <c r="R428" s="2"/>
      <c r="T428" s="2"/>
    </row>
    <row r="429" spans="1:20" x14ac:dyDescent="0.2">
      <c r="A429" s="103"/>
      <c r="B429" s="28" t="s">
        <v>451</v>
      </c>
      <c r="C429" s="22" t="s">
        <v>820</v>
      </c>
      <c r="D429" s="2" t="s">
        <v>820</v>
      </c>
      <c r="E429" s="5">
        <v>453</v>
      </c>
      <c r="F429" s="2" t="b">
        <v>0</v>
      </c>
      <c r="G429" s="5">
        <v>1966</v>
      </c>
      <c r="H429" s="75" t="s">
        <v>820</v>
      </c>
      <c r="I429" s="5">
        <v>4834</v>
      </c>
      <c r="J429" s="2" t="b">
        <v>0</v>
      </c>
      <c r="K429" s="5">
        <v>2222</v>
      </c>
      <c r="L429" s="4" t="s">
        <v>833</v>
      </c>
      <c r="M429" s="5">
        <v>901089</v>
      </c>
      <c r="N429" s="2" t="s">
        <v>877</v>
      </c>
      <c r="O429" s="5">
        <v>287</v>
      </c>
      <c r="P429" s="2" t="s">
        <v>820</v>
      </c>
      <c r="Q429" s="5">
        <v>1661</v>
      </c>
      <c r="R429" s="2"/>
      <c r="T429" s="2"/>
    </row>
    <row r="430" spans="1:20" x14ac:dyDescent="0.2">
      <c r="A430" s="103"/>
      <c r="B430" s="28" t="s">
        <v>450</v>
      </c>
      <c r="C430" s="22" t="s">
        <v>820</v>
      </c>
      <c r="D430" s="2" t="s">
        <v>820</v>
      </c>
      <c r="E430" s="5">
        <v>446</v>
      </c>
      <c r="F430" s="2" t="b">
        <v>0</v>
      </c>
      <c r="G430" s="5">
        <v>1974</v>
      </c>
      <c r="H430" s="75" t="s">
        <v>820</v>
      </c>
      <c r="I430" s="5">
        <v>7514</v>
      </c>
      <c r="J430" s="2" t="b">
        <v>0</v>
      </c>
      <c r="K430" s="5">
        <v>2772</v>
      </c>
      <c r="L430" s="4" t="s">
        <v>833</v>
      </c>
      <c r="M430" s="5">
        <v>901025</v>
      </c>
      <c r="N430" s="2" t="s">
        <v>877</v>
      </c>
      <c r="O430" s="5">
        <v>293</v>
      </c>
      <c r="P430" s="2" t="s">
        <v>820</v>
      </c>
      <c r="Q430" s="5">
        <v>1049</v>
      </c>
      <c r="R430" s="2"/>
      <c r="T430" s="2"/>
    </row>
    <row r="431" spans="1:20" x14ac:dyDescent="0.2">
      <c r="A431" s="103"/>
      <c r="B431" s="28" t="s">
        <v>449</v>
      </c>
      <c r="C431" s="22" t="s">
        <v>820</v>
      </c>
      <c r="D431" s="2" t="s">
        <v>820</v>
      </c>
      <c r="E431" s="5">
        <v>513</v>
      </c>
      <c r="F431" s="2" t="b">
        <v>0</v>
      </c>
      <c r="G431" s="5">
        <v>1976</v>
      </c>
      <c r="H431" s="75" t="s">
        <v>820</v>
      </c>
      <c r="I431" s="5">
        <v>5719</v>
      </c>
      <c r="J431" s="2" t="b">
        <v>0</v>
      </c>
      <c r="K431" s="5">
        <v>2293</v>
      </c>
      <c r="L431" s="4" t="s">
        <v>833</v>
      </c>
      <c r="M431" s="5">
        <v>901054</v>
      </c>
      <c r="N431" s="2" t="s">
        <v>877</v>
      </c>
      <c r="O431" s="5">
        <v>320</v>
      </c>
      <c r="P431" s="2" t="s">
        <v>820</v>
      </c>
      <c r="Q431" s="5">
        <v>1488</v>
      </c>
      <c r="R431" s="2"/>
      <c r="T431" s="2"/>
    </row>
    <row r="432" spans="1:20" x14ac:dyDescent="0.2">
      <c r="A432" s="103"/>
      <c r="B432" s="28" t="s">
        <v>448</v>
      </c>
      <c r="C432" s="22" t="s">
        <v>820</v>
      </c>
      <c r="D432" s="2" t="s">
        <v>820</v>
      </c>
      <c r="E432" s="5">
        <v>637</v>
      </c>
      <c r="F432" s="2" t="b">
        <v>0</v>
      </c>
      <c r="G432" s="5">
        <v>1972</v>
      </c>
      <c r="H432" s="75" t="s">
        <v>820</v>
      </c>
      <c r="I432" s="5">
        <v>5796</v>
      </c>
      <c r="J432" s="2" t="b">
        <v>0</v>
      </c>
      <c r="K432" s="5">
        <v>2312</v>
      </c>
      <c r="L432" s="4" t="s">
        <v>833</v>
      </c>
      <c r="M432" s="5">
        <v>901077</v>
      </c>
      <c r="N432" s="2" t="s">
        <v>877</v>
      </c>
      <c r="O432" s="5">
        <v>295</v>
      </c>
      <c r="P432" s="2" t="s">
        <v>820</v>
      </c>
      <c r="Q432" s="5">
        <v>1541</v>
      </c>
      <c r="R432" s="2"/>
      <c r="T432" s="2"/>
    </row>
    <row r="433" spans="1:20" x14ac:dyDescent="0.2">
      <c r="A433" s="103"/>
      <c r="B433" s="28" t="s">
        <v>447</v>
      </c>
      <c r="C433" s="22" t="s">
        <v>820</v>
      </c>
      <c r="D433" s="2" t="s">
        <v>820</v>
      </c>
      <c r="E433" s="5">
        <v>739</v>
      </c>
      <c r="F433" s="2" t="b">
        <v>0</v>
      </c>
      <c r="G433" s="5">
        <v>2003</v>
      </c>
      <c r="H433" s="75" t="s">
        <v>820</v>
      </c>
      <c r="I433" s="5">
        <v>7944</v>
      </c>
      <c r="J433" s="2" t="b">
        <v>0</v>
      </c>
      <c r="K433" s="5">
        <v>3227</v>
      </c>
      <c r="L433" s="4" t="s">
        <v>833</v>
      </c>
      <c r="M433" s="5">
        <v>901046</v>
      </c>
      <c r="N433" s="2" t="s">
        <v>877</v>
      </c>
      <c r="O433" s="5">
        <v>815</v>
      </c>
      <c r="P433" s="2" t="s">
        <v>820</v>
      </c>
      <c r="Q433" s="5">
        <v>6538</v>
      </c>
      <c r="R433" s="2"/>
      <c r="T433" s="2"/>
    </row>
    <row r="434" spans="1:20" x14ac:dyDescent="0.2">
      <c r="A434" s="103"/>
      <c r="B434" s="28" t="s">
        <v>446</v>
      </c>
      <c r="C434" s="22" t="s">
        <v>820</v>
      </c>
      <c r="D434" s="2" t="s">
        <v>820</v>
      </c>
      <c r="E434" s="5">
        <v>438</v>
      </c>
      <c r="F434" s="2" t="s">
        <v>883</v>
      </c>
      <c r="G434" s="5">
        <v>130381</v>
      </c>
      <c r="H434" s="75" t="s">
        <v>820</v>
      </c>
      <c r="I434" s="5">
        <v>6645</v>
      </c>
      <c r="J434" s="2" t="b">
        <v>0</v>
      </c>
      <c r="K434" s="5">
        <v>2544</v>
      </c>
      <c r="L434" s="4" t="s">
        <v>833</v>
      </c>
      <c r="M434" s="5">
        <v>901052</v>
      </c>
      <c r="N434" s="2" t="s">
        <v>876</v>
      </c>
      <c r="O434" s="5">
        <v>312</v>
      </c>
      <c r="P434" s="2" t="s">
        <v>820</v>
      </c>
      <c r="Q434" s="5">
        <v>1623</v>
      </c>
      <c r="R434" s="2"/>
      <c r="T434" s="2"/>
    </row>
    <row r="435" spans="1:20" x14ac:dyDescent="0.2">
      <c r="A435" s="103"/>
      <c r="B435" s="28" t="s">
        <v>445</v>
      </c>
      <c r="C435" s="22" t="s">
        <v>820</v>
      </c>
      <c r="D435" s="2" t="s">
        <v>820</v>
      </c>
      <c r="E435" s="5">
        <v>417</v>
      </c>
      <c r="F435" s="2" t="s">
        <v>883</v>
      </c>
      <c r="G435" s="5">
        <v>130638</v>
      </c>
      <c r="H435" s="75" t="s">
        <v>820</v>
      </c>
      <c r="I435" s="5">
        <v>7014</v>
      </c>
      <c r="J435" s="2" t="b">
        <v>0</v>
      </c>
      <c r="K435" s="5">
        <v>3704</v>
      </c>
      <c r="L435" s="4" t="s">
        <v>833</v>
      </c>
      <c r="M435" s="5">
        <v>901285</v>
      </c>
      <c r="N435" s="2" t="s">
        <v>821</v>
      </c>
      <c r="O435" s="5">
        <v>900266</v>
      </c>
      <c r="P435" s="2" t="s">
        <v>820</v>
      </c>
      <c r="Q435" s="5">
        <v>1789</v>
      </c>
      <c r="R435" s="2"/>
      <c r="T435" s="2"/>
    </row>
    <row r="436" spans="1:20" x14ac:dyDescent="0.2">
      <c r="A436" s="103"/>
      <c r="B436" s="28" t="s">
        <v>444</v>
      </c>
      <c r="C436" s="22" t="s">
        <v>820</v>
      </c>
      <c r="D436" s="2" t="s">
        <v>820</v>
      </c>
      <c r="E436" s="5">
        <v>25789</v>
      </c>
      <c r="F436" s="2" t="b">
        <v>0</v>
      </c>
      <c r="G436" s="5">
        <v>6675</v>
      </c>
      <c r="H436" s="75" t="s">
        <v>820</v>
      </c>
      <c r="I436" s="5">
        <v>8489</v>
      </c>
      <c r="J436" s="2" t="b">
        <v>0</v>
      </c>
      <c r="K436" s="5">
        <v>11244</v>
      </c>
      <c r="L436" s="4" t="s">
        <v>833</v>
      </c>
      <c r="M436" s="5">
        <v>902375</v>
      </c>
      <c r="N436" s="2" t="s">
        <v>823</v>
      </c>
      <c r="O436" s="5">
        <v>510</v>
      </c>
      <c r="P436" s="2" t="s">
        <v>820</v>
      </c>
      <c r="Q436" s="5">
        <v>23166</v>
      </c>
      <c r="R436" s="2"/>
      <c r="T436" s="2"/>
    </row>
    <row r="437" spans="1:20" x14ac:dyDescent="0.2">
      <c r="A437" s="103"/>
      <c r="B437" s="28" t="s">
        <v>443</v>
      </c>
      <c r="C437" s="22" t="s">
        <v>820</v>
      </c>
      <c r="D437" s="2" t="s">
        <v>820</v>
      </c>
      <c r="E437" s="5">
        <v>459</v>
      </c>
      <c r="F437" s="2" t="b">
        <v>0</v>
      </c>
      <c r="G437" s="5">
        <v>1997</v>
      </c>
      <c r="H437" s="75" t="s">
        <v>820</v>
      </c>
      <c r="I437" s="5">
        <v>5040</v>
      </c>
      <c r="J437" s="2" t="b">
        <v>0</v>
      </c>
      <c r="K437" s="5">
        <v>2227</v>
      </c>
      <c r="L437" s="4" t="s">
        <v>833</v>
      </c>
      <c r="M437" s="5">
        <v>901030</v>
      </c>
      <c r="N437" s="2" t="s">
        <v>877</v>
      </c>
      <c r="O437" s="5">
        <v>281</v>
      </c>
      <c r="P437" s="2" t="s">
        <v>820</v>
      </c>
      <c r="Q437" s="5">
        <v>1652</v>
      </c>
      <c r="R437" s="2"/>
      <c r="T437" s="2"/>
    </row>
    <row r="438" spans="1:20" x14ac:dyDescent="0.2">
      <c r="A438" s="103"/>
      <c r="B438" s="28" t="s">
        <v>442</v>
      </c>
      <c r="C438" s="22" t="s">
        <v>820</v>
      </c>
      <c r="D438" s="2" t="s">
        <v>820</v>
      </c>
      <c r="E438" s="5">
        <v>402</v>
      </c>
      <c r="F438" s="2" t="b">
        <v>0</v>
      </c>
      <c r="G438" s="5">
        <v>6472</v>
      </c>
      <c r="H438" s="75" t="s">
        <v>820</v>
      </c>
      <c r="I438" s="5">
        <v>6815</v>
      </c>
      <c r="J438" s="2" t="b">
        <v>0</v>
      </c>
      <c r="K438" s="5">
        <v>9380</v>
      </c>
      <c r="L438" s="4" t="b">
        <v>1</v>
      </c>
      <c r="M438" s="5">
        <v>224036</v>
      </c>
      <c r="N438" s="2" t="s">
        <v>877</v>
      </c>
      <c r="O438" s="5">
        <v>271</v>
      </c>
      <c r="P438" s="2" t="s">
        <v>820</v>
      </c>
      <c r="Q438" s="5">
        <v>1762</v>
      </c>
      <c r="R438" s="2"/>
      <c r="T438" s="2"/>
    </row>
    <row r="439" spans="1:20" x14ac:dyDescent="0.2">
      <c r="A439" s="103"/>
      <c r="B439" s="28" t="s">
        <v>441</v>
      </c>
      <c r="C439" s="22" t="s">
        <v>820</v>
      </c>
      <c r="D439" s="2" t="s">
        <v>820</v>
      </c>
      <c r="E439" s="5">
        <v>440</v>
      </c>
      <c r="F439" s="2" t="b">
        <v>0</v>
      </c>
      <c r="G439" s="5">
        <v>3139</v>
      </c>
      <c r="H439" s="75" t="s">
        <v>820</v>
      </c>
      <c r="I439" s="5">
        <v>5617</v>
      </c>
      <c r="J439" s="2" t="b">
        <v>0</v>
      </c>
      <c r="K439" s="5">
        <v>3664</v>
      </c>
      <c r="L439" s="4" t="s">
        <v>833</v>
      </c>
      <c r="M439" s="5">
        <v>901102</v>
      </c>
      <c r="N439" s="2" t="s">
        <v>877</v>
      </c>
      <c r="O439" s="5">
        <v>272</v>
      </c>
      <c r="P439" s="2" t="s">
        <v>820</v>
      </c>
      <c r="Q439" s="5">
        <v>1401</v>
      </c>
      <c r="R439" s="2"/>
      <c r="T439" s="2"/>
    </row>
    <row r="440" spans="1:20" x14ac:dyDescent="0.2">
      <c r="A440" s="103"/>
      <c r="B440" s="28" t="s">
        <v>440</v>
      </c>
      <c r="C440" s="22" t="s">
        <v>820</v>
      </c>
      <c r="D440" s="2" t="s">
        <v>820</v>
      </c>
      <c r="E440" s="5">
        <v>490</v>
      </c>
      <c r="F440" s="2" t="b">
        <v>0</v>
      </c>
      <c r="G440" s="5">
        <v>2630</v>
      </c>
      <c r="H440" s="75" t="s">
        <v>820</v>
      </c>
      <c r="I440" s="5">
        <v>6973</v>
      </c>
      <c r="J440" s="2" t="s">
        <v>833</v>
      </c>
      <c r="K440" s="5">
        <v>7124</v>
      </c>
      <c r="L440" s="4" t="s">
        <v>833</v>
      </c>
      <c r="M440" s="5">
        <v>5816</v>
      </c>
      <c r="N440" s="2" t="s">
        <v>877</v>
      </c>
      <c r="O440" s="5">
        <v>290</v>
      </c>
      <c r="P440" s="2" t="s">
        <v>820</v>
      </c>
      <c r="Q440" s="5">
        <v>1736</v>
      </c>
      <c r="R440" s="2"/>
      <c r="T440" s="2"/>
    </row>
    <row r="441" spans="1:20" x14ac:dyDescent="0.2">
      <c r="A441" s="103"/>
      <c r="B441" s="28" t="s">
        <v>439</v>
      </c>
      <c r="C441" s="22" t="s">
        <v>820</v>
      </c>
      <c r="D441" s="2" t="s">
        <v>820</v>
      </c>
      <c r="E441" s="5">
        <v>616</v>
      </c>
      <c r="F441" s="2" t="b">
        <v>1</v>
      </c>
      <c r="G441" s="5">
        <v>42408</v>
      </c>
      <c r="H441" s="75" t="s">
        <v>820</v>
      </c>
      <c r="I441" s="5">
        <v>5315</v>
      </c>
      <c r="J441" s="2" t="b">
        <v>0</v>
      </c>
      <c r="K441" s="5">
        <v>2486</v>
      </c>
      <c r="L441" s="4" t="s">
        <v>833</v>
      </c>
      <c r="M441" s="5">
        <v>7355</v>
      </c>
      <c r="N441" s="2" t="s">
        <v>823</v>
      </c>
      <c r="O441" s="5">
        <v>327</v>
      </c>
      <c r="P441" s="2" t="s">
        <v>820</v>
      </c>
      <c r="Q441" s="5">
        <v>1321</v>
      </c>
      <c r="R441" s="2"/>
      <c r="T441" s="2"/>
    </row>
    <row r="442" spans="1:20" x14ac:dyDescent="0.2">
      <c r="A442" s="103"/>
      <c r="B442" s="28" t="s">
        <v>438</v>
      </c>
      <c r="C442" s="22" t="s">
        <v>820</v>
      </c>
      <c r="D442" s="2" t="s">
        <v>820</v>
      </c>
      <c r="E442" s="5">
        <v>723</v>
      </c>
      <c r="F442" s="2" t="b">
        <v>0</v>
      </c>
      <c r="G442" s="5">
        <v>2026</v>
      </c>
      <c r="H442" s="2" t="s">
        <v>838</v>
      </c>
      <c r="I442" s="5">
        <v>12842</v>
      </c>
      <c r="J442" s="2" t="b">
        <v>0</v>
      </c>
      <c r="K442" s="5">
        <v>2540</v>
      </c>
      <c r="L442" s="4" t="b">
        <v>1</v>
      </c>
      <c r="M442" s="5">
        <v>5707</v>
      </c>
      <c r="N442" s="2" t="s">
        <v>823</v>
      </c>
      <c r="O442" s="5">
        <v>341</v>
      </c>
      <c r="P442" s="64" t="s">
        <v>837</v>
      </c>
      <c r="Q442" s="5">
        <v>910053</v>
      </c>
      <c r="R442" s="2"/>
      <c r="S442" s="85"/>
      <c r="T442" s="2"/>
    </row>
    <row r="443" spans="1:20" x14ac:dyDescent="0.2">
      <c r="A443" s="103"/>
      <c r="B443" s="28" t="s">
        <v>437</v>
      </c>
      <c r="C443" s="22" t="s">
        <v>820</v>
      </c>
      <c r="D443" s="2" t="s">
        <v>820</v>
      </c>
      <c r="E443" s="5">
        <v>407</v>
      </c>
      <c r="F443" s="2" t="b">
        <v>1</v>
      </c>
      <c r="G443" s="5">
        <v>8953</v>
      </c>
      <c r="H443" s="75" t="s">
        <v>820</v>
      </c>
      <c r="I443" s="5">
        <v>6634</v>
      </c>
      <c r="J443" s="2" t="b">
        <v>0</v>
      </c>
      <c r="K443" s="5">
        <v>2452</v>
      </c>
      <c r="L443" s="4" t="s">
        <v>833</v>
      </c>
      <c r="M443" s="5">
        <v>366679</v>
      </c>
      <c r="N443" s="2" t="s">
        <v>823</v>
      </c>
      <c r="O443" s="5">
        <v>560</v>
      </c>
      <c r="P443" s="2" t="s">
        <v>820</v>
      </c>
      <c r="Q443" s="5">
        <v>1952</v>
      </c>
      <c r="R443" s="2"/>
      <c r="T443" s="2"/>
    </row>
    <row r="444" spans="1:20" x14ac:dyDescent="0.2">
      <c r="A444" s="103"/>
      <c r="B444" s="28" t="s">
        <v>436</v>
      </c>
      <c r="C444" s="22" t="s">
        <v>820</v>
      </c>
      <c r="D444" s="2" t="s">
        <v>820</v>
      </c>
      <c r="E444" s="5">
        <v>419</v>
      </c>
      <c r="F444" s="2" t="s">
        <v>883</v>
      </c>
      <c r="G444" s="5">
        <v>301830</v>
      </c>
      <c r="H444" s="75" t="s">
        <v>820</v>
      </c>
      <c r="I444" s="5">
        <v>5479</v>
      </c>
      <c r="J444" s="2" t="b">
        <v>0</v>
      </c>
      <c r="K444" s="5">
        <v>2458</v>
      </c>
      <c r="L444" s="4" t="s">
        <v>833</v>
      </c>
      <c r="M444" s="5">
        <v>901175</v>
      </c>
      <c r="N444" s="2" t="s">
        <v>823</v>
      </c>
      <c r="O444" s="5">
        <v>399</v>
      </c>
      <c r="P444" s="2" t="s">
        <v>820</v>
      </c>
      <c r="Q444" s="5">
        <v>1554</v>
      </c>
      <c r="R444" s="2"/>
      <c r="T444" s="2"/>
    </row>
    <row r="445" spans="1:20" x14ac:dyDescent="0.2">
      <c r="A445" s="103"/>
      <c r="B445" s="28" t="s">
        <v>435</v>
      </c>
      <c r="C445" s="22" t="s">
        <v>820</v>
      </c>
      <c r="D445" s="2" t="s">
        <v>820</v>
      </c>
      <c r="E445" s="5">
        <v>446</v>
      </c>
      <c r="F445" s="2" t="b">
        <v>0</v>
      </c>
      <c r="G445" s="5">
        <v>2053</v>
      </c>
      <c r="H445" s="75" t="s">
        <v>820</v>
      </c>
      <c r="I445" s="5">
        <v>5571</v>
      </c>
      <c r="J445" s="2" t="b">
        <v>0</v>
      </c>
      <c r="K445" s="5">
        <v>2255</v>
      </c>
      <c r="L445" s="4" t="s">
        <v>833</v>
      </c>
      <c r="M445" s="5">
        <v>901103</v>
      </c>
      <c r="N445" s="2" t="s">
        <v>823</v>
      </c>
      <c r="O445" s="5">
        <v>304</v>
      </c>
      <c r="P445" s="2" t="s">
        <v>820</v>
      </c>
      <c r="Q445" s="5">
        <v>2176</v>
      </c>
      <c r="R445" s="2"/>
      <c r="T445" s="2"/>
    </row>
    <row r="446" spans="1:20" x14ac:dyDescent="0.2">
      <c r="A446" s="103"/>
      <c r="B446" s="28" t="s">
        <v>434</v>
      </c>
      <c r="C446" s="22" t="s">
        <v>820</v>
      </c>
      <c r="D446" s="2" t="s">
        <v>820</v>
      </c>
      <c r="E446" s="5">
        <v>424</v>
      </c>
      <c r="F446" s="2" t="s">
        <v>883</v>
      </c>
      <c r="G446" s="5">
        <v>301836</v>
      </c>
      <c r="H446" s="76" t="s">
        <v>820</v>
      </c>
      <c r="I446" s="5">
        <v>910039</v>
      </c>
      <c r="J446" s="2" t="b">
        <v>0</v>
      </c>
      <c r="K446" s="5">
        <v>2560</v>
      </c>
      <c r="L446" s="4" t="s">
        <v>833</v>
      </c>
      <c r="M446" s="5">
        <v>900991</v>
      </c>
      <c r="N446" s="2" t="s">
        <v>823</v>
      </c>
      <c r="O446" s="5">
        <v>380</v>
      </c>
      <c r="P446" s="2" t="s">
        <v>820</v>
      </c>
      <c r="Q446" s="5">
        <v>1429</v>
      </c>
      <c r="R446" s="2"/>
      <c r="T446" s="2"/>
    </row>
    <row r="447" spans="1:20" x14ac:dyDescent="0.2">
      <c r="A447" s="103"/>
      <c r="B447" s="28" t="s">
        <v>433</v>
      </c>
      <c r="C447" s="22" t="s">
        <v>820</v>
      </c>
      <c r="D447" s="2" t="s">
        <v>820</v>
      </c>
      <c r="E447" s="5">
        <v>424</v>
      </c>
      <c r="F447" s="2" t="b">
        <v>0</v>
      </c>
      <c r="G447" s="5">
        <v>2708</v>
      </c>
      <c r="H447" s="75" t="s">
        <v>820</v>
      </c>
      <c r="I447" s="5">
        <v>9316</v>
      </c>
      <c r="J447" s="2" t="b">
        <v>0</v>
      </c>
      <c r="K447" s="5">
        <v>2503</v>
      </c>
      <c r="L447" s="4" t="s">
        <v>833</v>
      </c>
      <c r="M447" s="5">
        <v>901026</v>
      </c>
      <c r="N447" s="2" t="s">
        <v>823</v>
      </c>
      <c r="O447" s="5">
        <v>391</v>
      </c>
      <c r="P447" s="2" t="s">
        <v>820</v>
      </c>
      <c r="Q447" s="5">
        <v>1778</v>
      </c>
      <c r="R447" s="2"/>
      <c r="T447" s="2"/>
    </row>
    <row r="448" spans="1:20" x14ac:dyDescent="0.2">
      <c r="A448" s="103"/>
      <c r="B448" s="28" t="s">
        <v>432</v>
      </c>
      <c r="C448" s="22" t="s">
        <v>820</v>
      </c>
      <c r="D448" s="2" t="s">
        <v>820</v>
      </c>
      <c r="E448" s="5">
        <v>400</v>
      </c>
      <c r="F448" s="2" t="s">
        <v>883</v>
      </c>
      <c r="G448" s="5">
        <v>301790</v>
      </c>
      <c r="H448" s="75" t="s">
        <v>820</v>
      </c>
      <c r="I448" s="5">
        <v>5411</v>
      </c>
      <c r="J448" s="2" t="b">
        <v>0</v>
      </c>
      <c r="K448" s="5">
        <v>2830</v>
      </c>
      <c r="L448" s="4" t="s">
        <v>833</v>
      </c>
      <c r="M448" s="5">
        <v>901027</v>
      </c>
      <c r="N448" s="2" t="s">
        <v>823</v>
      </c>
      <c r="O448" s="5">
        <v>384</v>
      </c>
      <c r="P448" s="2" t="s">
        <v>820</v>
      </c>
      <c r="Q448" s="5">
        <v>2190</v>
      </c>
      <c r="R448" s="2"/>
      <c r="T448" s="2"/>
    </row>
    <row r="449" spans="1:20" x14ac:dyDescent="0.2">
      <c r="A449" s="103"/>
      <c r="B449" s="28" t="s">
        <v>431</v>
      </c>
      <c r="C449" s="22" t="s">
        <v>820</v>
      </c>
      <c r="D449" s="2" t="s">
        <v>820</v>
      </c>
      <c r="E449" s="5">
        <v>426</v>
      </c>
      <c r="F449" s="2" t="b">
        <v>0</v>
      </c>
      <c r="G449" s="5">
        <v>2013</v>
      </c>
      <c r="H449" s="75" t="s">
        <v>820</v>
      </c>
      <c r="I449" s="5">
        <v>5396</v>
      </c>
      <c r="J449" s="2" t="b">
        <v>0</v>
      </c>
      <c r="K449" s="5">
        <v>2231</v>
      </c>
      <c r="L449" s="4" t="s">
        <v>833</v>
      </c>
      <c r="M449" s="5">
        <v>901116</v>
      </c>
      <c r="N449" s="2" t="s">
        <v>823</v>
      </c>
      <c r="O449" s="5">
        <v>320</v>
      </c>
      <c r="P449" s="2" t="s">
        <v>820</v>
      </c>
      <c r="Q449" s="5">
        <v>1239</v>
      </c>
      <c r="R449" s="2"/>
      <c r="T449" s="2"/>
    </row>
    <row r="450" spans="1:20" x14ac:dyDescent="0.2">
      <c r="A450" s="103"/>
      <c r="B450" s="28" t="s">
        <v>430</v>
      </c>
      <c r="C450" s="22" t="s">
        <v>820</v>
      </c>
      <c r="D450" s="2" t="s">
        <v>820</v>
      </c>
      <c r="E450" s="5">
        <v>405</v>
      </c>
      <c r="F450" s="2" t="s">
        <v>883</v>
      </c>
      <c r="G450" s="5">
        <v>301777</v>
      </c>
      <c r="H450" s="75" t="s">
        <v>820</v>
      </c>
      <c r="I450" s="5">
        <v>19663</v>
      </c>
      <c r="J450" s="2" t="b">
        <v>0</v>
      </c>
      <c r="K450" s="5">
        <v>2560</v>
      </c>
      <c r="L450" s="4" t="s">
        <v>833</v>
      </c>
      <c r="M450" s="5">
        <v>901007</v>
      </c>
      <c r="N450" s="2" t="s">
        <v>823</v>
      </c>
      <c r="O450" s="5">
        <v>401</v>
      </c>
      <c r="P450" s="2" t="s">
        <v>820</v>
      </c>
      <c r="Q450" s="5">
        <v>2358</v>
      </c>
      <c r="R450" s="2"/>
      <c r="T450" s="2"/>
    </row>
    <row r="451" spans="1:20" x14ac:dyDescent="0.2">
      <c r="A451" s="103"/>
      <c r="B451" s="28" t="s">
        <v>429</v>
      </c>
      <c r="C451" s="22" t="s">
        <v>820</v>
      </c>
      <c r="D451" s="2" t="s">
        <v>820</v>
      </c>
      <c r="E451" s="5">
        <v>432</v>
      </c>
      <c r="F451" s="2" t="b">
        <v>0</v>
      </c>
      <c r="G451" s="5">
        <v>1983</v>
      </c>
      <c r="H451" s="75" t="s">
        <v>820</v>
      </c>
      <c r="I451" s="5">
        <v>5424</v>
      </c>
      <c r="J451" s="2" t="b">
        <v>0</v>
      </c>
      <c r="K451" s="5">
        <v>2197</v>
      </c>
      <c r="L451" s="4" t="s">
        <v>833</v>
      </c>
      <c r="M451" s="5">
        <v>901076</v>
      </c>
      <c r="N451" s="2" t="s">
        <v>823</v>
      </c>
      <c r="O451" s="5">
        <v>306</v>
      </c>
      <c r="P451" s="2" t="s">
        <v>820</v>
      </c>
      <c r="Q451" s="5">
        <v>1546</v>
      </c>
      <c r="R451" s="2"/>
      <c r="T451" s="2"/>
    </row>
    <row r="452" spans="1:20" x14ac:dyDescent="0.2">
      <c r="A452" s="103"/>
      <c r="B452" s="28" t="s">
        <v>428</v>
      </c>
      <c r="C452" s="22" t="s">
        <v>818</v>
      </c>
      <c r="D452" s="2" t="s">
        <v>818</v>
      </c>
      <c r="E452" s="5">
        <v>1664</v>
      </c>
      <c r="F452" s="2" t="b">
        <v>1</v>
      </c>
      <c r="G452" s="5">
        <v>42553</v>
      </c>
      <c r="H452" s="2" t="s">
        <v>818</v>
      </c>
      <c r="I452" s="5">
        <v>9838</v>
      </c>
      <c r="J452" s="2" t="b">
        <v>1</v>
      </c>
      <c r="K452" s="5">
        <v>3179</v>
      </c>
      <c r="L452" s="4" t="s">
        <v>833</v>
      </c>
      <c r="M452" s="5">
        <v>903992</v>
      </c>
      <c r="N452" s="2" t="s">
        <v>823</v>
      </c>
      <c r="O452" s="5">
        <v>2187</v>
      </c>
      <c r="P452" s="2" t="s">
        <v>818</v>
      </c>
      <c r="Q452" s="5">
        <v>6225</v>
      </c>
      <c r="R452" s="2"/>
      <c r="T452" s="2"/>
    </row>
    <row r="453" spans="1:20" x14ac:dyDescent="0.2">
      <c r="A453" s="103"/>
      <c r="B453" s="28" t="s">
        <v>427</v>
      </c>
      <c r="C453" s="22" t="s">
        <v>818</v>
      </c>
      <c r="D453" s="2" t="s">
        <v>818</v>
      </c>
      <c r="E453" s="5">
        <v>4917</v>
      </c>
      <c r="F453" s="2" t="b">
        <v>1</v>
      </c>
      <c r="G453" s="5">
        <v>78423</v>
      </c>
      <c r="H453" s="2" t="s">
        <v>818</v>
      </c>
      <c r="I453" s="5">
        <v>10792</v>
      </c>
      <c r="J453" s="2" t="b">
        <v>1</v>
      </c>
      <c r="K453" s="5">
        <v>4094</v>
      </c>
      <c r="L453" s="4" t="s">
        <v>833</v>
      </c>
      <c r="M453" s="5">
        <v>903591</v>
      </c>
      <c r="N453" s="2" t="s">
        <v>823</v>
      </c>
      <c r="O453" s="5">
        <v>5454</v>
      </c>
      <c r="P453" s="2" t="s">
        <v>818</v>
      </c>
      <c r="Q453" s="5">
        <v>459973</v>
      </c>
      <c r="R453" s="2"/>
      <c r="T453" s="2"/>
    </row>
    <row r="454" spans="1:20" x14ac:dyDescent="0.2">
      <c r="A454" s="103"/>
      <c r="B454" s="28" t="s">
        <v>426</v>
      </c>
      <c r="C454" s="22" t="s">
        <v>818</v>
      </c>
      <c r="D454" s="2" t="s">
        <v>818</v>
      </c>
      <c r="E454" s="5">
        <v>771</v>
      </c>
      <c r="F454" s="2" t="s">
        <v>883</v>
      </c>
      <c r="G454" s="5">
        <v>301790</v>
      </c>
      <c r="H454" s="2" t="s">
        <v>818</v>
      </c>
      <c r="I454" s="5">
        <v>7946</v>
      </c>
      <c r="J454" s="2" t="b">
        <v>1</v>
      </c>
      <c r="K454" s="5">
        <v>3842</v>
      </c>
      <c r="L454" s="4" t="b">
        <v>1</v>
      </c>
      <c r="M454" s="5">
        <v>6236</v>
      </c>
      <c r="N454" s="2" t="s">
        <v>876</v>
      </c>
      <c r="O454" s="5">
        <v>315</v>
      </c>
      <c r="P454" s="2" t="s">
        <v>818</v>
      </c>
      <c r="Q454" s="5">
        <v>6706</v>
      </c>
      <c r="R454" s="2"/>
      <c r="S454" s="85"/>
      <c r="T454" s="2"/>
    </row>
    <row r="455" spans="1:20" x14ac:dyDescent="0.2">
      <c r="A455" s="103"/>
      <c r="B455" s="28" t="s">
        <v>425</v>
      </c>
      <c r="C455" s="22" t="s">
        <v>818</v>
      </c>
      <c r="D455" s="2" t="s">
        <v>818</v>
      </c>
      <c r="E455" s="5">
        <v>412</v>
      </c>
      <c r="F455" s="2" t="s">
        <v>883</v>
      </c>
      <c r="G455" s="5">
        <v>301762</v>
      </c>
      <c r="H455" s="2" t="s">
        <v>818</v>
      </c>
      <c r="I455" s="5">
        <v>3668</v>
      </c>
      <c r="J455" s="2" t="b">
        <v>1</v>
      </c>
      <c r="K455" s="5">
        <v>2504</v>
      </c>
      <c r="L455" s="4" t="b">
        <v>1</v>
      </c>
      <c r="M455" s="5">
        <v>6008</v>
      </c>
      <c r="N455" s="2" t="s">
        <v>877</v>
      </c>
      <c r="O455" s="5">
        <v>273</v>
      </c>
      <c r="P455" s="2" t="s">
        <v>818</v>
      </c>
      <c r="Q455" s="5">
        <v>7806</v>
      </c>
      <c r="R455" s="2"/>
      <c r="T455" s="2"/>
    </row>
    <row r="456" spans="1:20" x14ac:dyDescent="0.2">
      <c r="A456" s="103"/>
      <c r="B456" s="28" t="s">
        <v>424</v>
      </c>
      <c r="C456" s="22" t="s">
        <v>818</v>
      </c>
      <c r="D456" s="2" t="s">
        <v>818</v>
      </c>
      <c r="E456" s="5">
        <v>568</v>
      </c>
      <c r="F456" s="2" t="b">
        <v>1</v>
      </c>
      <c r="G456" s="5">
        <v>182929</v>
      </c>
      <c r="H456" s="2" t="s">
        <v>818</v>
      </c>
      <c r="I456" s="5">
        <v>6884</v>
      </c>
      <c r="J456" s="2" t="b">
        <v>1</v>
      </c>
      <c r="K456" s="5">
        <v>3329</v>
      </c>
      <c r="L456" s="4" t="b">
        <v>1</v>
      </c>
      <c r="M456" s="5">
        <v>6467</v>
      </c>
      <c r="N456" s="2" t="s">
        <v>876</v>
      </c>
      <c r="O456" s="5">
        <v>294</v>
      </c>
      <c r="P456" s="2" t="s">
        <v>818</v>
      </c>
      <c r="Q456" s="5">
        <v>4408</v>
      </c>
      <c r="R456" s="2"/>
      <c r="T456" s="2"/>
    </row>
    <row r="457" spans="1:20" x14ac:dyDescent="0.2">
      <c r="A457" s="103"/>
      <c r="B457" s="28" t="s">
        <v>423</v>
      </c>
      <c r="C457" s="22" t="s">
        <v>818</v>
      </c>
      <c r="D457" s="2" t="s">
        <v>818</v>
      </c>
      <c r="E457" s="5">
        <v>644</v>
      </c>
      <c r="F457" s="2" t="b">
        <v>1</v>
      </c>
      <c r="G457" s="5">
        <v>182801</v>
      </c>
      <c r="H457" s="2" t="s">
        <v>818</v>
      </c>
      <c r="I457" s="5">
        <v>6968</v>
      </c>
      <c r="J457" s="2" t="b">
        <v>1</v>
      </c>
      <c r="K457" s="5">
        <v>3731</v>
      </c>
      <c r="L457" s="4" t="b">
        <v>1</v>
      </c>
      <c r="M457" s="5">
        <v>6515</v>
      </c>
      <c r="N457" s="2" t="s">
        <v>876</v>
      </c>
      <c r="O457" s="5">
        <v>375</v>
      </c>
      <c r="P457" s="2" t="s">
        <v>818</v>
      </c>
      <c r="Q457" s="5">
        <v>5016</v>
      </c>
      <c r="R457" s="2"/>
      <c r="T457" s="2"/>
    </row>
    <row r="458" spans="1:20" x14ac:dyDescent="0.2">
      <c r="A458" s="103"/>
      <c r="B458" s="28" t="s">
        <v>422</v>
      </c>
      <c r="C458" s="22" t="s">
        <v>818</v>
      </c>
      <c r="D458" s="2" t="s">
        <v>818</v>
      </c>
      <c r="E458" s="5">
        <v>552</v>
      </c>
      <c r="F458" s="2" t="b">
        <v>1</v>
      </c>
      <c r="G458" s="5">
        <v>183088</v>
      </c>
      <c r="H458" s="2" t="s">
        <v>818</v>
      </c>
      <c r="I458" s="5">
        <v>4961</v>
      </c>
      <c r="J458" s="2" t="b">
        <v>1</v>
      </c>
      <c r="K458" s="5">
        <v>3683</v>
      </c>
      <c r="L458" s="4" t="b">
        <v>1</v>
      </c>
      <c r="M458" s="5">
        <v>6804</v>
      </c>
      <c r="N458" s="2" t="s">
        <v>876</v>
      </c>
      <c r="O458" s="5">
        <v>334</v>
      </c>
      <c r="P458" s="2" t="s">
        <v>818</v>
      </c>
      <c r="Q458" s="5">
        <v>2903</v>
      </c>
      <c r="R458" s="2"/>
      <c r="T458" s="2"/>
    </row>
    <row r="459" spans="1:20" x14ac:dyDescent="0.2">
      <c r="A459" s="103"/>
      <c r="B459" s="28" t="s">
        <v>421</v>
      </c>
      <c r="C459" s="22" t="s">
        <v>818</v>
      </c>
      <c r="D459" s="2" t="s">
        <v>818</v>
      </c>
      <c r="E459" s="5">
        <v>439</v>
      </c>
      <c r="F459" s="2" t="b">
        <v>1</v>
      </c>
      <c r="G459" s="5">
        <v>182925</v>
      </c>
      <c r="H459" s="2" t="s">
        <v>818</v>
      </c>
      <c r="I459" s="5">
        <v>4236</v>
      </c>
      <c r="J459" s="2" t="b">
        <v>1</v>
      </c>
      <c r="K459" s="5">
        <v>2792</v>
      </c>
      <c r="L459" s="4" t="b">
        <v>1</v>
      </c>
      <c r="M459" s="5">
        <v>5591</v>
      </c>
      <c r="N459" s="2" t="s">
        <v>876</v>
      </c>
      <c r="O459" s="5">
        <v>291</v>
      </c>
      <c r="P459" s="2" t="s">
        <v>818</v>
      </c>
      <c r="Q459" s="5">
        <v>3017</v>
      </c>
      <c r="R459" s="2"/>
      <c r="T459" s="2"/>
    </row>
    <row r="460" spans="1:20" x14ac:dyDescent="0.2">
      <c r="A460" s="103"/>
      <c r="B460" s="28" t="s">
        <v>420</v>
      </c>
      <c r="C460" s="22" t="s">
        <v>818</v>
      </c>
      <c r="D460" s="2" t="s">
        <v>818</v>
      </c>
      <c r="E460" s="5">
        <v>403</v>
      </c>
      <c r="F460" s="2" t="b">
        <v>1</v>
      </c>
      <c r="G460" s="5">
        <v>182969</v>
      </c>
      <c r="H460" s="2" t="s">
        <v>818</v>
      </c>
      <c r="I460" s="5">
        <v>4182</v>
      </c>
      <c r="J460" s="2" t="b">
        <v>1</v>
      </c>
      <c r="K460" s="5">
        <v>2769</v>
      </c>
      <c r="L460" s="4" t="b">
        <v>1</v>
      </c>
      <c r="M460" s="5">
        <v>5777</v>
      </c>
      <c r="N460" s="2" t="s">
        <v>823</v>
      </c>
      <c r="O460" s="5">
        <v>404</v>
      </c>
      <c r="P460" s="2" t="s">
        <v>818</v>
      </c>
      <c r="Q460" s="5">
        <v>3056</v>
      </c>
      <c r="R460" s="2"/>
      <c r="T460" s="2"/>
    </row>
    <row r="461" spans="1:20" x14ac:dyDescent="0.2">
      <c r="A461" s="103"/>
      <c r="B461" s="28" t="s">
        <v>419</v>
      </c>
      <c r="C461" s="22" t="s">
        <v>818</v>
      </c>
      <c r="D461" s="2" t="s">
        <v>818</v>
      </c>
      <c r="E461" s="5">
        <v>436</v>
      </c>
      <c r="F461" s="2" t="b">
        <v>1</v>
      </c>
      <c r="G461" s="5">
        <v>183011</v>
      </c>
      <c r="H461" s="2" t="s">
        <v>818</v>
      </c>
      <c r="I461" s="5">
        <v>5131</v>
      </c>
      <c r="J461" s="2" t="b">
        <v>1</v>
      </c>
      <c r="K461" s="5">
        <v>3542</v>
      </c>
      <c r="L461" s="4" t="b">
        <v>1</v>
      </c>
      <c r="M461" s="5">
        <v>6667</v>
      </c>
      <c r="N461" s="2" t="s">
        <v>823</v>
      </c>
      <c r="O461" s="5">
        <v>3599</v>
      </c>
      <c r="P461" s="2" t="s">
        <v>818</v>
      </c>
      <c r="Q461" s="5">
        <v>5336</v>
      </c>
      <c r="R461" s="2"/>
      <c r="T461" s="2"/>
    </row>
    <row r="462" spans="1:20" x14ac:dyDescent="0.2">
      <c r="A462" s="103"/>
      <c r="B462" s="28" t="s">
        <v>418</v>
      </c>
      <c r="C462" s="22" t="s">
        <v>818</v>
      </c>
      <c r="D462" s="2" t="s">
        <v>818</v>
      </c>
      <c r="E462" s="5">
        <v>424</v>
      </c>
      <c r="F462" s="2" t="b">
        <v>1</v>
      </c>
      <c r="G462" s="5">
        <v>183007</v>
      </c>
      <c r="H462" s="2" t="s">
        <v>818</v>
      </c>
      <c r="I462" s="5">
        <v>5306</v>
      </c>
      <c r="J462" s="2" t="b">
        <v>1</v>
      </c>
      <c r="K462" s="5">
        <v>2859</v>
      </c>
      <c r="L462" s="4" t="b">
        <v>1</v>
      </c>
      <c r="M462" s="5">
        <v>5768</v>
      </c>
      <c r="N462" s="2" t="s">
        <v>876</v>
      </c>
      <c r="O462" s="5">
        <v>323</v>
      </c>
      <c r="P462" s="2" t="s">
        <v>818</v>
      </c>
      <c r="Q462" s="5">
        <v>3080</v>
      </c>
      <c r="R462" s="2"/>
      <c r="T462" s="2"/>
    </row>
    <row r="463" spans="1:20" x14ac:dyDescent="0.2">
      <c r="A463" s="103"/>
      <c r="B463" s="28" t="s">
        <v>417</v>
      </c>
      <c r="C463" s="22" t="s">
        <v>818</v>
      </c>
      <c r="D463" s="2" t="s">
        <v>818</v>
      </c>
      <c r="E463" s="5">
        <v>428</v>
      </c>
      <c r="F463" s="2" t="b">
        <v>1</v>
      </c>
      <c r="G463" s="5">
        <v>182918</v>
      </c>
      <c r="H463" s="2" t="s">
        <v>818</v>
      </c>
      <c r="I463" s="5">
        <v>4484</v>
      </c>
      <c r="J463" s="2" t="b">
        <v>1</v>
      </c>
      <c r="K463" s="5">
        <v>2779</v>
      </c>
      <c r="L463" s="4" t="s">
        <v>833</v>
      </c>
      <c r="M463" s="5">
        <v>902098</v>
      </c>
      <c r="N463" s="2" t="s">
        <v>876</v>
      </c>
      <c r="O463" s="5">
        <v>286</v>
      </c>
      <c r="P463" s="2" t="s">
        <v>818</v>
      </c>
      <c r="Q463" s="5">
        <v>2384</v>
      </c>
      <c r="R463" s="2"/>
      <c r="T463" s="2"/>
    </row>
    <row r="464" spans="1:20" x14ac:dyDescent="0.2">
      <c r="A464" s="103"/>
      <c r="B464" s="28" t="s">
        <v>416</v>
      </c>
      <c r="C464" s="22" t="s">
        <v>818</v>
      </c>
      <c r="D464" s="2" t="s">
        <v>818</v>
      </c>
      <c r="E464" s="5">
        <v>437</v>
      </c>
      <c r="F464" s="2" t="b">
        <v>0</v>
      </c>
      <c r="G464" s="5">
        <v>4137</v>
      </c>
      <c r="H464" s="2" t="s">
        <v>818</v>
      </c>
      <c r="I464" s="5">
        <v>5214</v>
      </c>
      <c r="J464" s="2" t="b">
        <v>1</v>
      </c>
      <c r="K464" s="5">
        <v>2980</v>
      </c>
      <c r="L464" s="4" t="s">
        <v>833</v>
      </c>
      <c r="M464" s="5">
        <v>5699</v>
      </c>
      <c r="N464" s="2" t="s">
        <v>823</v>
      </c>
      <c r="O464" s="5">
        <v>369</v>
      </c>
      <c r="P464" s="2" t="s">
        <v>818</v>
      </c>
      <c r="Q464" s="5">
        <v>1989</v>
      </c>
      <c r="R464" s="2"/>
      <c r="T464" s="2"/>
    </row>
    <row r="465" spans="1:20" x14ac:dyDescent="0.2">
      <c r="A465" s="103"/>
      <c r="B465" s="28" t="s">
        <v>415</v>
      </c>
      <c r="C465" s="22" t="s">
        <v>818</v>
      </c>
      <c r="D465" s="2" t="s">
        <v>818</v>
      </c>
      <c r="E465" s="5">
        <v>419</v>
      </c>
      <c r="F465" s="2" t="b">
        <v>1</v>
      </c>
      <c r="G465" s="5">
        <v>182936</v>
      </c>
      <c r="H465" s="2" t="s">
        <v>818</v>
      </c>
      <c r="I465" s="5">
        <v>4277</v>
      </c>
      <c r="J465" s="2" t="b">
        <v>1</v>
      </c>
      <c r="K465" s="5">
        <v>2762</v>
      </c>
      <c r="L465" s="4" t="b">
        <v>1</v>
      </c>
      <c r="M465" s="5">
        <v>5857</v>
      </c>
      <c r="N465" s="2" t="s">
        <v>876</v>
      </c>
      <c r="O465" s="5">
        <v>295</v>
      </c>
      <c r="P465" s="2" t="s">
        <v>818</v>
      </c>
      <c r="Q465" s="5">
        <v>2677</v>
      </c>
      <c r="R465" s="2"/>
      <c r="T465" s="2"/>
    </row>
    <row r="466" spans="1:20" x14ac:dyDescent="0.2">
      <c r="A466" s="103"/>
      <c r="B466" s="28" t="s">
        <v>414</v>
      </c>
      <c r="C466" s="22" t="s">
        <v>818</v>
      </c>
      <c r="D466" s="2" t="s">
        <v>818</v>
      </c>
      <c r="E466" s="5">
        <v>423</v>
      </c>
      <c r="F466" s="2" t="b">
        <v>1</v>
      </c>
      <c r="G466" s="5">
        <v>183163</v>
      </c>
      <c r="H466" s="2" t="s">
        <v>818</v>
      </c>
      <c r="I466" s="5">
        <v>25127</v>
      </c>
      <c r="J466" s="2" t="b">
        <v>1</v>
      </c>
      <c r="K466" s="5">
        <v>3184</v>
      </c>
      <c r="L466" s="4" t="b">
        <v>1</v>
      </c>
      <c r="M466" s="5">
        <v>6592</v>
      </c>
      <c r="N466" s="2" t="s">
        <v>876</v>
      </c>
      <c r="O466" s="5">
        <v>311</v>
      </c>
      <c r="P466" s="2" t="s">
        <v>818</v>
      </c>
      <c r="Q466" s="5">
        <v>2944</v>
      </c>
      <c r="R466" s="2"/>
      <c r="T466" s="2"/>
    </row>
    <row r="467" spans="1:20" x14ac:dyDescent="0.2">
      <c r="A467" s="103"/>
      <c r="B467" s="28" t="s">
        <v>413</v>
      </c>
      <c r="C467" s="22" t="s">
        <v>818</v>
      </c>
      <c r="D467" s="2" t="s">
        <v>818</v>
      </c>
      <c r="E467" s="5">
        <v>416</v>
      </c>
      <c r="F467" s="2" t="b">
        <v>1</v>
      </c>
      <c r="G467" s="5">
        <v>183012</v>
      </c>
      <c r="H467" s="2" t="s">
        <v>818</v>
      </c>
      <c r="I467" s="5">
        <v>4692</v>
      </c>
      <c r="J467" s="2" t="b">
        <v>1</v>
      </c>
      <c r="K467" s="5">
        <v>2905</v>
      </c>
      <c r="L467" s="4" t="b">
        <v>1</v>
      </c>
      <c r="M467" s="5">
        <v>6879</v>
      </c>
      <c r="N467" s="2" t="s">
        <v>876</v>
      </c>
      <c r="O467" s="5">
        <v>413</v>
      </c>
      <c r="P467" s="2" t="s">
        <v>818</v>
      </c>
      <c r="Q467" s="5">
        <v>2003</v>
      </c>
      <c r="R467" s="2"/>
      <c r="T467" s="2"/>
    </row>
    <row r="468" spans="1:20" x14ac:dyDescent="0.2">
      <c r="A468" s="103"/>
      <c r="B468" s="28" t="s">
        <v>412</v>
      </c>
      <c r="C468" s="22" t="s">
        <v>818</v>
      </c>
      <c r="D468" s="2" t="s">
        <v>818</v>
      </c>
      <c r="E468" s="5">
        <v>421</v>
      </c>
      <c r="F468" s="2" t="b">
        <v>1</v>
      </c>
      <c r="G468" s="5">
        <v>183989</v>
      </c>
      <c r="H468" s="2" t="s">
        <v>818</v>
      </c>
      <c r="I468" s="5">
        <v>4574</v>
      </c>
      <c r="J468" s="2" t="b">
        <v>1</v>
      </c>
      <c r="K468" s="5">
        <v>2953</v>
      </c>
      <c r="L468" s="4" t="b">
        <v>1</v>
      </c>
      <c r="M468" s="5">
        <v>7350</v>
      </c>
      <c r="N468" s="2" t="s">
        <v>876</v>
      </c>
      <c r="O468" s="5">
        <v>375</v>
      </c>
      <c r="P468" s="2" t="s">
        <v>818</v>
      </c>
      <c r="Q468" s="5">
        <v>2706</v>
      </c>
      <c r="R468" s="2"/>
      <c r="T468" s="2"/>
    </row>
    <row r="469" spans="1:20" x14ac:dyDescent="0.2">
      <c r="A469" s="103"/>
      <c r="B469" s="28" t="s">
        <v>411</v>
      </c>
      <c r="C469" s="22" t="s">
        <v>818</v>
      </c>
      <c r="D469" s="2" t="s">
        <v>818</v>
      </c>
      <c r="E469" s="5">
        <v>507</v>
      </c>
      <c r="F469" s="2" t="b">
        <v>1</v>
      </c>
      <c r="G469" s="5">
        <v>183293</v>
      </c>
      <c r="H469" s="2" t="s">
        <v>818</v>
      </c>
      <c r="I469" s="5">
        <v>6675</v>
      </c>
      <c r="J469" s="2" t="b">
        <v>1</v>
      </c>
      <c r="K469" s="5">
        <v>2968</v>
      </c>
      <c r="L469" s="4" t="b">
        <v>1</v>
      </c>
      <c r="M469" s="5">
        <v>6485</v>
      </c>
      <c r="N469" s="2" t="s">
        <v>876</v>
      </c>
      <c r="O469" s="5">
        <v>315</v>
      </c>
      <c r="P469" s="2" t="s">
        <v>818</v>
      </c>
      <c r="Q469" s="5">
        <v>2899</v>
      </c>
      <c r="R469" s="2"/>
      <c r="T469" s="2"/>
    </row>
    <row r="470" spans="1:20" x14ac:dyDescent="0.2">
      <c r="A470" s="103"/>
      <c r="B470" s="28" t="s">
        <v>410</v>
      </c>
      <c r="C470" s="22" t="s">
        <v>818</v>
      </c>
      <c r="D470" s="2" t="s">
        <v>818</v>
      </c>
      <c r="E470" s="5">
        <v>732</v>
      </c>
      <c r="F470" s="2" t="b">
        <v>1</v>
      </c>
      <c r="G470" s="5">
        <v>184147</v>
      </c>
      <c r="H470" s="2" t="s">
        <v>818</v>
      </c>
      <c r="I470" s="5">
        <v>6694</v>
      </c>
      <c r="J470" s="2" t="b">
        <v>1</v>
      </c>
      <c r="K470" s="5">
        <v>3117</v>
      </c>
      <c r="L470" s="4" t="b">
        <v>1</v>
      </c>
      <c r="M470" s="5">
        <v>7075</v>
      </c>
      <c r="N470" s="2" t="s">
        <v>876</v>
      </c>
      <c r="O470" s="5">
        <v>327</v>
      </c>
      <c r="P470" s="2" t="s">
        <v>818</v>
      </c>
      <c r="Q470" s="5">
        <v>6026</v>
      </c>
      <c r="R470" s="2"/>
      <c r="T470" s="2"/>
    </row>
    <row r="471" spans="1:20" x14ac:dyDescent="0.2">
      <c r="A471" s="103"/>
      <c r="B471" s="28" t="s">
        <v>409</v>
      </c>
      <c r="C471" s="22" t="s">
        <v>818</v>
      </c>
      <c r="D471" s="2" t="s">
        <v>818</v>
      </c>
      <c r="E471" s="5">
        <v>459</v>
      </c>
      <c r="F471" s="2" t="b">
        <v>1</v>
      </c>
      <c r="G471" s="5">
        <v>182307</v>
      </c>
      <c r="H471" s="2" t="s">
        <v>818</v>
      </c>
      <c r="I471" s="5">
        <v>4401</v>
      </c>
      <c r="J471" s="2" t="b">
        <v>1</v>
      </c>
      <c r="K471" s="5">
        <v>2550</v>
      </c>
      <c r="L471" s="4" t="b">
        <v>1</v>
      </c>
      <c r="M471" s="5">
        <v>5823</v>
      </c>
      <c r="N471" s="2" t="s">
        <v>876</v>
      </c>
      <c r="O471" s="5">
        <v>323</v>
      </c>
      <c r="P471" s="2" t="s">
        <v>818</v>
      </c>
      <c r="Q471" s="5">
        <v>2642</v>
      </c>
      <c r="R471" s="2"/>
      <c r="T471" s="2"/>
    </row>
    <row r="472" spans="1:20" x14ac:dyDescent="0.2">
      <c r="A472" s="103"/>
      <c r="B472" s="28" t="s">
        <v>408</v>
      </c>
      <c r="C472" s="22" t="s">
        <v>818</v>
      </c>
      <c r="D472" s="2" t="s">
        <v>818</v>
      </c>
      <c r="E472" s="5">
        <v>432</v>
      </c>
      <c r="F472" s="2" t="b">
        <v>1</v>
      </c>
      <c r="G472" s="5">
        <v>182897</v>
      </c>
      <c r="H472" s="2" t="s">
        <v>818</v>
      </c>
      <c r="I472" s="5">
        <v>5217</v>
      </c>
      <c r="J472" s="2" t="b">
        <v>1</v>
      </c>
      <c r="K472" s="5">
        <v>2857</v>
      </c>
      <c r="L472" s="4" t="s">
        <v>833</v>
      </c>
      <c r="M472" s="5">
        <v>5645</v>
      </c>
      <c r="N472" s="2" t="s">
        <v>823</v>
      </c>
      <c r="O472" s="5">
        <v>353</v>
      </c>
      <c r="P472" s="2" t="s">
        <v>818</v>
      </c>
      <c r="Q472" s="5">
        <v>2678</v>
      </c>
      <c r="R472" s="2"/>
      <c r="T472" s="2"/>
    </row>
    <row r="473" spans="1:20" x14ac:dyDescent="0.2">
      <c r="A473" s="103"/>
      <c r="B473" s="28" t="s">
        <v>407</v>
      </c>
      <c r="C473" s="22" t="s">
        <v>818</v>
      </c>
      <c r="D473" s="2" t="s">
        <v>818</v>
      </c>
      <c r="E473" s="5">
        <v>428</v>
      </c>
      <c r="F473" s="2" t="b">
        <v>1</v>
      </c>
      <c r="G473" s="5">
        <v>49387</v>
      </c>
      <c r="H473" s="2" t="s">
        <v>818</v>
      </c>
      <c r="I473" s="5">
        <v>2792</v>
      </c>
      <c r="J473" s="2" t="b">
        <v>1</v>
      </c>
      <c r="K473" s="5">
        <v>3202</v>
      </c>
      <c r="L473" s="4" t="s">
        <v>833</v>
      </c>
      <c r="M473" s="5">
        <v>5750</v>
      </c>
      <c r="N473" s="2" t="s">
        <v>876</v>
      </c>
      <c r="O473" s="5">
        <v>315</v>
      </c>
      <c r="P473" s="2" t="s">
        <v>818</v>
      </c>
      <c r="Q473" s="5">
        <v>2388</v>
      </c>
      <c r="R473" s="2"/>
      <c r="T473" s="2"/>
    </row>
    <row r="474" spans="1:20" x14ac:dyDescent="0.2">
      <c r="A474" s="103"/>
      <c r="B474" s="28" t="s">
        <v>406</v>
      </c>
      <c r="C474" s="22" t="s">
        <v>818</v>
      </c>
      <c r="D474" s="2" t="s">
        <v>818</v>
      </c>
      <c r="E474" s="5">
        <v>406</v>
      </c>
      <c r="F474" s="2" t="b">
        <v>1</v>
      </c>
      <c r="G474" s="5">
        <v>182339</v>
      </c>
      <c r="H474" s="2" t="s">
        <v>818</v>
      </c>
      <c r="I474" s="5">
        <v>4793</v>
      </c>
      <c r="J474" s="2" t="b">
        <v>1</v>
      </c>
      <c r="K474" s="5">
        <v>2771</v>
      </c>
      <c r="L474" s="4" t="b">
        <v>1</v>
      </c>
      <c r="M474" s="5">
        <v>5765</v>
      </c>
      <c r="N474" s="2" t="s">
        <v>876</v>
      </c>
      <c r="O474" s="5">
        <v>294</v>
      </c>
      <c r="P474" s="2" t="s">
        <v>818</v>
      </c>
      <c r="Q474" s="5">
        <v>1863</v>
      </c>
      <c r="R474" s="2"/>
      <c r="T474" s="2"/>
    </row>
    <row r="475" spans="1:20" x14ac:dyDescent="0.2">
      <c r="A475" s="103"/>
      <c r="B475" s="28" t="s">
        <v>405</v>
      </c>
      <c r="C475" s="22" t="s">
        <v>818</v>
      </c>
      <c r="D475" s="2" t="s">
        <v>818</v>
      </c>
      <c r="E475" s="5">
        <v>399</v>
      </c>
      <c r="F475" s="2" t="b">
        <v>1</v>
      </c>
      <c r="G475" s="5">
        <v>182945</v>
      </c>
      <c r="H475" s="2" t="s">
        <v>818</v>
      </c>
      <c r="I475" s="5">
        <v>5330</v>
      </c>
      <c r="J475" s="2" t="b">
        <v>1</v>
      </c>
      <c r="K475" s="5">
        <v>2617</v>
      </c>
      <c r="L475" s="4" t="b">
        <v>1</v>
      </c>
      <c r="M475" s="5">
        <v>5914</v>
      </c>
      <c r="N475" s="2" t="s">
        <v>876</v>
      </c>
      <c r="O475" s="5">
        <v>318</v>
      </c>
      <c r="P475" s="2" t="s">
        <v>818</v>
      </c>
      <c r="Q475" s="5">
        <v>3291</v>
      </c>
      <c r="R475" s="2"/>
      <c r="T475" s="2"/>
    </row>
    <row r="476" spans="1:20" x14ac:dyDescent="0.2">
      <c r="A476" s="103"/>
      <c r="B476" s="28" t="s">
        <v>404</v>
      </c>
      <c r="C476" s="22" t="s">
        <v>818</v>
      </c>
      <c r="D476" s="2" t="s">
        <v>818</v>
      </c>
      <c r="E476" s="5">
        <v>629</v>
      </c>
      <c r="F476" s="2" t="b">
        <v>0</v>
      </c>
      <c r="G476" s="5">
        <v>17366</v>
      </c>
      <c r="H476" s="2" t="s">
        <v>818</v>
      </c>
      <c r="I476" s="5">
        <v>8118</v>
      </c>
      <c r="J476" s="2" t="b">
        <v>1</v>
      </c>
      <c r="K476" s="5">
        <v>3743</v>
      </c>
      <c r="L476" s="4" t="b">
        <v>1</v>
      </c>
      <c r="M476" s="5">
        <v>6553</v>
      </c>
      <c r="N476" s="2" t="s">
        <v>823</v>
      </c>
      <c r="O476" s="5">
        <v>358</v>
      </c>
      <c r="P476" s="2" t="s">
        <v>818</v>
      </c>
      <c r="Q476" s="5">
        <v>4730</v>
      </c>
      <c r="R476" s="2"/>
      <c r="T476" s="2"/>
    </row>
    <row r="477" spans="1:20" x14ac:dyDescent="0.2">
      <c r="A477" s="103"/>
      <c r="B477" s="28" t="s">
        <v>403</v>
      </c>
      <c r="C477" s="22" t="s">
        <v>820</v>
      </c>
      <c r="D477" s="2" t="s">
        <v>820</v>
      </c>
      <c r="E477" s="5">
        <v>443</v>
      </c>
      <c r="F477" s="2" t="b">
        <v>0</v>
      </c>
      <c r="G477" s="5">
        <v>1988</v>
      </c>
      <c r="H477" s="75" t="s">
        <v>820</v>
      </c>
      <c r="I477" s="5">
        <v>6608</v>
      </c>
      <c r="J477" s="2" t="b">
        <v>0</v>
      </c>
      <c r="K477" s="5">
        <v>2291</v>
      </c>
      <c r="L477" s="4" t="s">
        <v>833</v>
      </c>
      <c r="M477" s="5">
        <v>901030</v>
      </c>
      <c r="N477" s="2" t="s">
        <v>823</v>
      </c>
      <c r="O477" s="5">
        <v>1472</v>
      </c>
      <c r="P477" s="2" t="s">
        <v>820</v>
      </c>
      <c r="Q477" s="5">
        <v>1947</v>
      </c>
      <c r="R477" s="2"/>
      <c r="T477" s="2"/>
    </row>
    <row r="478" spans="1:20" x14ac:dyDescent="0.2">
      <c r="A478" s="103"/>
      <c r="B478" s="28" t="s">
        <v>402</v>
      </c>
      <c r="C478" s="22" t="s">
        <v>818</v>
      </c>
      <c r="D478" s="2" t="s">
        <v>818</v>
      </c>
      <c r="E478" s="5">
        <v>507</v>
      </c>
      <c r="F478" s="2" t="b">
        <v>1</v>
      </c>
      <c r="G478" s="5">
        <v>182693</v>
      </c>
      <c r="H478" s="2" t="s">
        <v>818</v>
      </c>
      <c r="I478" s="5">
        <v>7259</v>
      </c>
      <c r="J478" s="2" t="b">
        <v>1</v>
      </c>
      <c r="K478" s="5">
        <v>3772</v>
      </c>
      <c r="L478" s="4" t="b">
        <v>1</v>
      </c>
      <c r="M478" s="5">
        <v>6845</v>
      </c>
      <c r="N478" s="2" t="s">
        <v>823</v>
      </c>
      <c r="O478" s="5">
        <v>451</v>
      </c>
      <c r="P478" s="2" t="s">
        <v>818</v>
      </c>
      <c r="Q478" s="5">
        <v>3587</v>
      </c>
      <c r="R478" s="2"/>
      <c r="T478" s="2"/>
    </row>
    <row r="479" spans="1:20" x14ac:dyDescent="0.2">
      <c r="A479" s="103"/>
      <c r="B479" s="28" t="s">
        <v>401</v>
      </c>
      <c r="C479" s="22" t="s">
        <v>818</v>
      </c>
      <c r="D479" s="2" t="s">
        <v>818</v>
      </c>
      <c r="E479" s="5">
        <v>610</v>
      </c>
      <c r="F479" s="2" t="b">
        <v>1</v>
      </c>
      <c r="G479" s="5">
        <v>184909</v>
      </c>
      <c r="H479" s="2" t="s">
        <v>818</v>
      </c>
      <c r="I479" s="5">
        <v>7206</v>
      </c>
      <c r="J479" s="2" t="b">
        <v>1</v>
      </c>
      <c r="K479" s="5">
        <v>3986</v>
      </c>
      <c r="L479" s="4" t="b">
        <v>1</v>
      </c>
      <c r="M479" s="5">
        <v>6982</v>
      </c>
      <c r="N479" s="2" t="s">
        <v>876</v>
      </c>
      <c r="O479" s="5">
        <v>340</v>
      </c>
      <c r="P479" s="2" t="s">
        <v>818</v>
      </c>
      <c r="Q479" s="5">
        <v>6924</v>
      </c>
      <c r="R479" s="2"/>
      <c r="T479" s="2"/>
    </row>
    <row r="480" spans="1:20" x14ac:dyDescent="0.2">
      <c r="A480" s="103"/>
      <c r="B480" s="28" t="s">
        <v>400</v>
      </c>
      <c r="C480" s="22" t="s">
        <v>818</v>
      </c>
      <c r="D480" s="2" t="s">
        <v>818</v>
      </c>
      <c r="E480" s="5">
        <v>426</v>
      </c>
      <c r="F480" s="2" t="b">
        <v>1</v>
      </c>
      <c r="G480" s="5">
        <v>182339</v>
      </c>
      <c r="H480" s="2" t="s">
        <v>818</v>
      </c>
      <c r="I480" s="5">
        <v>5641</v>
      </c>
      <c r="J480" s="64" t="s">
        <v>833</v>
      </c>
      <c r="K480" s="5">
        <v>900363</v>
      </c>
      <c r="L480" s="4" t="b">
        <v>1</v>
      </c>
      <c r="M480" s="5">
        <v>6093</v>
      </c>
      <c r="N480" s="2" t="s">
        <v>823</v>
      </c>
      <c r="O480" s="5">
        <v>1096</v>
      </c>
      <c r="P480" s="2" t="s">
        <v>818</v>
      </c>
      <c r="Q480" s="5">
        <v>3326</v>
      </c>
      <c r="R480" s="2"/>
      <c r="T480" s="2"/>
    </row>
    <row r="481" spans="1:20" x14ac:dyDescent="0.2">
      <c r="A481" s="103"/>
      <c r="B481" s="28" t="s">
        <v>399</v>
      </c>
      <c r="C481" s="22" t="s">
        <v>818</v>
      </c>
      <c r="D481" s="2" t="s">
        <v>818</v>
      </c>
      <c r="E481" s="5">
        <v>631</v>
      </c>
      <c r="F481" s="2" t="b">
        <v>1</v>
      </c>
      <c r="G481" s="5">
        <v>182285</v>
      </c>
      <c r="H481" s="2" t="s">
        <v>818</v>
      </c>
      <c r="I481" s="5">
        <v>10513</v>
      </c>
      <c r="J481" s="2" t="b">
        <v>1</v>
      </c>
      <c r="K481" s="5">
        <v>3951</v>
      </c>
      <c r="L481" s="4" t="b">
        <v>1</v>
      </c>
      <c r="M481" s="5">
        <v>6902</v>
      </c>
      <c r="N481" s="2" t="s">
        <v>876</v>
      </c>
      <c r="O481" s="5">
        <v>413</v>
      </c>
      <c r="P481" s="2" t="s">
        <v>818</v>
      </c>
      <c r="Q481" s="5">
        <v>6262</v>
      </c>
      <c r="R481" s="2"/>
      <c r="T481" s="2"/>
    </row>
    <row r="482" spans="1:20" x14ac:dyDescent="0.2">
      <c r="A482" s="103"/>
      <c r="B482" s="28" t="s">
        <v>398</v>
      </c>
      <c r="C482" s="22" t="s">
        <v>818</v>
      </c>
      <c r="D482" s="2" t="s">
        <v>818</v>
      </c>
      <c r="E482" s="5">
        <v>512</v>
      </c>
      <c r="F482" s="2" t="b">
        <v>1</v>
      </c>
      <c r="G482" s="5">
        <v>182342</v>
      </c>
      <c r="H482" s="2" t="s">
        <v>818</v>
      </c>
      <c r="I482" s="5">
        <v>13658</v>
      </c>
      <c r="J482" s="2" t="b">
        <v>1</v>
      </c>
      <c r="K482" s="5">
        <v>4978</v>
      </c>
      <c r="L482" s="4" t="b">
        <v>1</v>
      </c>
      <c r="M482" s="5">
        <v>7004</v>
      </c>
      <c r="N482" s="2" t="s">
        <v>823</v>
      </c>
      <c r="O482" s="5">
        <v>517</v>
      </c>
      <c r="P482" s="2" t="s">
        <v>818</v>
      </c>
      <c r="Q482" s="5">
        <v>9267</v>
      </c>
      <c r="R482" s="2"/>
      <c r="T482" s="2"/>
    </row>
    <row r="483" spans="1:20" x14ac:dyDescent="0.2">
      <c r="A483" s="103"/>
      <c r="B483" s="28" t="s">
        <v>397</v>
      </c>
      <c r="C483" s="22" t="s">
        <v>818</v>
      </c>
      <c r="D483" s="2" t="s">
        <v>818</v>
      </c>
      <c r="E483" s="5">
        <v>605</v>
      </c>
      <c r="F483" s="2" t="b">
        <v>1</v>
      </c>
      <c r="G483" s="5">
        <v>49770</v>
      </c>
      <c r="H483" s="2" t="s">
        <v>818</v>
      </c>
      <c r="I483" s="5">
        <v>7139</v>
      </c>
      <c r="J483" s="2" t="b">
        <v>1</v>
      </c>
      <c r="K483" s="5">
        <v>3983</v>
      </c>
      <c r="L483" s="4" t="b">
        <v>1</v>
      </c>
      <c r="M483" s="5">
        <v>5875</v>
      </c>
      <c r="N483" s="2" t="s">
        <v>876</v>
      </c>
      <c r="O483" s="5">
        <v>449</v>
      </c>
      <c r="P483" s="2" t="s">
        <v>818</v>
      </c>
      <c r="Q483" s="5">
        <v>3446</v>
      </c>
      <c r="R483" s="2"/>
      <c r="T483" s="2"/>
    </row>
    <row r="484" spans="1:20" x14ac:dyDescent="0.2">
      <c r="A484" s="103"/>
      <c r="B484" s="28" t="s">
        <v>396</v>
      </c>
      <c r="C484" s="22" t="s">
        <v>818</v>
      </c>
      <c r="D484" s="2" t="s">
        <v>818</v>
      </c>
      <c r="E484" s="5">
        <v>614</v>
      </c>
      <c r="F484" s="2" t="b">
        <v>0</v>
      </c>
      <c r="G484" s="5">
        <v>15736</v>
      </c>
      <c r="H484" s="2" t="s">
        <v>818</v>
      </c>
      <c r="I484" s="5">
        <v>8084</v>
      </c>
      <c r="J484" s="2" t="b">
        <v>1</v>
      </c>
      <c r="K484" s="5">
        <v>3901</v>
      </c>
      <c r="L484" s="4" t="b">
        <v>1</v>
      </c>
      <c r="M484" s="5">
        <v>6553</v>
      </c>
      <c r="N484" s="2" t="s">
        <v>823</v>
      </c>
      <c r="O484" s="5">
        <v>367</v>
      </c>
      <c r="P484" s="2" t="s">
        <v>818</v>
      </c>
      <c r="Q484" s="5">
        <v>5342</v>
      </c>
      <c r="R484" s="2"/>
      <c r="T484" s="2"/>
    </row>
    <row r="485" spans="1:20" x14ac:dyDescent="0.2">
      <c r="A485" s="103"/>
      <c r="B485" s="28" t="s">
        <v>395</v>
      </c>
      <c r="C485" s="22" t="s">
        <v>818</v>
      </c>
      <c r="D485" s="2" t="s">
        <v>818</v>
      </c>
      <c r="E485" s="5">
        <v>960</v>
      </c>
      <c r="F485" s="2" t="b">
        <v>1</v>
      </c>
      <c r="G485" s="5">
        <v>182930</v>
      </c>
      <c r="H485" s="64" t="s">
        <v>837</v>
      </c>
      <c r="I485" s="5">
        <v>910041</v>
      </c>
      <c r="J485" s="2" t="b">
        <v>1</v>
      </c>
      <c r="K485" s="5">
        <v>17229</v>
      </c>
      <c r="L485" s="4" t="b">
        <v>1</v>
      </c>
      <c r="M485" s="5">
        <v>10002</v>
      </c>
      <c r="N485" s="2" t="s">
        <v>823</v>
      </c>
      <c r="O485" s="5">
        <v>75396</v>
      </c>
      <c r="P485" s="2" t="s">
        <v>818</v>
      </c>
      <c r="Q485" s="5">
        <v>7291</v>
      </c>
      <c r="R485" s="2"/>
      <c r="T485" s="2"/>
    </row>
    <row r="486" spans="1:20" x14ac:dyDescent="0.2">
      <c r="A486" s="103"/>
      <c r="B486" s="28" t="s">
        <v>394</v>
      </c>
      <c r="C486" s="22" t="s">
        <v>818</v>
      </c>
      <c r="D486" s="2" t="s">
        <v>818</v>
      </c>
      <c r="E486" s="5">
        <v>419</v>
      </c>
      <c r="F486" s="2" t="b">
        <v>1</v>
      </c>
      <c r="G486" s="5">
        <v>182269</v>
      </c>
      <c r="H486" s="2" t="s">
        <v>818</v>
      </c>
      <c r="I486" s="5">
        <v>4267</v>
      </c>
      <c r="J486" s="2" t="b">
        <v>1</v>
      </c>
      <c r="K486" s="5">
        <v>2690</v>
      </c>
      <c r="L486" s="4" t="b">
        <v>1</v>
      </c>
      <c r="M486" s="5">
        <v>5856</v>
      </c>
      <c r="N486" s="2" t="s">
        <v>876</v>
      </c>
      <c r="O486" s="5">
        <v>295</v>
      </c>
      <c r="P486" s="2" t="s">
        <v>818</v>
      </c>
      <c r="Q486" s="5">
        <v>1630</v>
      </c>
      <c r="R486" s="2"/>
      <c r="T486" s="2"/>
    </row>
    <row r="487" spans="1:20" x14ac:dyDescent="0.2">
      <c r="A487" s="103"/>
      <c r="B487" s="28" t="s">
        <v>393</v>
      </c>
      <c r="C487" s="22" t="s">
        <v>818</v>
      </c>
      <c r="D487" s="2" t="s">
        <v>818</v>
      </c>
      <c r="E487" s="5">
        <v>534</v>
      </c>
      <c r="F487" s="2" t="b">
        <v>1</v>
      </c>
      <c r="G487" s="5">
        <v>182722</v>
      </c>
      <c r="H487" s="2" t="s">
        <v>818</v>
      </c>
      <c r="I487" s="5">
        <v>7922</v>
      </c>
      <c r="J487" s="2" t="b">
        <v>1</v>
      </c>
      <c r="K487" s="5">
        <v>3861</v>
      </c>
      <c r="L487" s="4" t="b">
        <v>1</v>
      </c>
      <c r="M487" s="5">
        <v>6487</v>
      </c>
      <c r="N487" s="2" t="s">
        <v>876</v>
      </c>
      <c r="O487" s="5">
        <v>342</v>
      </c>
      <c r="P487" s="2" t="s">
        <v>818</v>
      </c>
      <c r="Q487" s="5">
        <v>4273</v>
      </c>
      <c r="R487" s="2"/>
      <c r="T487" s="2"/>
    </row>
    <row r="488" spans="1:20" x14ac:dyDescent="0.2">
      <c r="A488" s="103"/>
      <c r="B488" s="28" t="s">
        <v>392</v>
      </c>
      <c r="C488" s="22" t="s">
        <v>818</v>
      </c>
      <c r="D488" s="2" t="s">
        <v>818</v>
      </c>
      <c r="E488" s="5">
        <v>833</v>
      </c>
      <c r="F488" s="2" t="b">
        <v>1</v>
      </c>
      <c r="G488" s="5">
        <v>186260</v>
      </c>
      <c r="H488" s="2" t="s">
        <v>818</v>
      </c>
      <c r="I488" s="5">
        <v>11095</v>
      </c>
      <c r="J488" s="2" t="b">
        <v>1</v>
      </c>
      <c r="K488" s="5">
        <v>4093</v>
      </c>
      <c r="L488" s="4" t="b">
        <v>1</v>
      </c>
      <c r="M488" s="5">
        <v>7506</v>
      </c>
      <c r="N488" s="2" t="s">
        <v>876</v>
      </c>
      <c r="O488" s="5">
        <v>345</v>
      </c>
      <c r="P488" s="2" t="s">
        <v>818</v>
      </c>
      <c r="Q488" s="5">
        <v>5158</v>
      </c>
      <c r="R488" s="2"/>
      <c r="T488" s="2"/>
    </row>
    <row r="489" spans="1:20" x14ac:dyDescent="0.2">
      <c r="A489" s="103"/>
      <c r="B489" s="28" t="s">
        <v>391</v>
      </c>
      <c r="C489" s="22" t="s">
        <v>818</v>
      </c>
      <c r="D489" s="2" t="s">
        <v>818</v>
      </c>
      <c r="E489" s="5">
        <v>404</v>
      </c>
      <c r="F489" s="2" t="b">
        <v>0</v>
      </c>
      <c r="G489" s="5">
        <v>2781</v>
      </c>
      <c r="H489" s="2" t="s">
        <v>838</v>
      </c>
      <c r="I489" s="5">
        <v>40856</v>
      </c>
      <c r="J489" s="2" t="b">
        <v>1</v>
      </c>
      <c r="K489" s="5">
        <v>7050</v>
      </c>
      <c r="L489" s="4" t="b">
        <v>1</v>
      </c>
      <c r="M489" s="5">
        <v>6119</v>
      </c>
      <c r="N489" s="2" t="s">
        <v>823</v>
      </c>
      <c r="O489" s="5">
        <v>21473</v>
      </c>
      <c r="P489" s="2" t="s">
        <v>818</v>
      </c>
      <c r="Q489" s="5">
        <v>2835</v>
      </c>
      <c r="R489" s="2"/>
      <c r="T489" s="2"/>
    </row>
    <row r="490" spans="1:20" x14ac:dyDescent="0.2">
      <c r="A490" s="103"/>
      <c r="B490" s="28" t="s">
        <v>390</v>
      </c>
      <c r="C490" s="22" t="s">
        <v>818</v>
      </c>
      <c r="D490" s="2" t="s">
        <v>818</v>
      </c>
      <c r="E490" s="5">
        <v>1559</v>
      </c>
      <c r="F490" s="2" t="b">
        <v>1</v>
      </c>
      <c r="G490" s="5">
        <v>41664</v>
      </c>
      <c r="H490" s="2" t="s">
        <v>818</v>
      </c>
      <c r="I490" s="5">
        <v>6976</v>
      </c>
      <c r="J490" s="2" t="s">
        <v>833</v>
      </c>
      <c r="K490" s="5">
        <v>8577</v>
      </c>
      <c r="L490" s="4" t="s">
        <v>833</v>
      </c>
      <c r="M490" s="5">
        <v>5485</v>
      </c>
      <c r="N490" s="2" t="s">
        <v>823</v>
      </c>
      <c r="O490" s="5">
        <v>381</v>
      </c>
      <c r="P490" s="2" t="s">
        <v>838</v>
      </c>
      <c r="Q490" s="5">
        <v>9550</v>
      </c>
      <c r="R490" s="2"/>
      <c r="T490" s="2"/>
    </row>
    <row r="491" spans="1:20" x14ac:dyDescent="0.2">
      <c r="A491" s="103"/>
      <c r="B491" s="28" t="s">
        <v>389</v>
      </c>
      <c r="C491" s="22" t="s">
        <v>818</v>
      </c>
      <c r="D491" s="2" t="s">
        <v>818</v>
      </c>
      <c r="E491" s="5">
        <v>401</v>
      </c>
      <c r="F491" s="2" t="b">
        <v>1</v>
      </c>
      <c r="G491" s="5">
        <v>182960</v>
      </c>
      <c r="H491" s="2" t="s">
        <v>818</v>
      </c>
      <c r="I491" s="5">
        <v>7232</v>
      </c>
      <c r="J491" s="2" t="b">
        <v>1</v>
      </c>
      <c r="K491" s="5">
        <v>3524</v>
      </c>
      <c r="L491" s="4" t="b">
        <v>1</v>
      </c>
      <c r="M491" s="5">
        <v>6538</v>
      </c>
      <c r="N491" s="2" t="s">
        <v>823</v>
      </c>
      <c r="O491" s="5">
        <v>509</v>
      </c>
      <c r="P491" s="2" t="s">
        <v>818</v>
      </c>
      <c r="Q491" s="5">
        <v>6062</v>
      </c>
      <c r="R491" s="2"/>
      <c r="T491" s="2"/>
    </row>
    <row r="492" spans="1:20" x14ac:dyDescent="0.2">
      <c r="A492" s="103"/>
      <c r="B492" s="28" t="s">
        <v>388</v>
      </c>
      <c r="C492" s="22" t="s">
        <v>818</v>
      </c>
      <c r="D492" s="2" t="s">
        <v>818</v>
      </c>
      <c r="E492" s="5">
        <v>947</v>
      </c>
      <c r="F492" s="2" t="b">
        <v>1</v>
      </c>
      <c r="G492" s="5">
        <v>273860</v>
      </c>
      <c r="H492" s="2" t="s">
        <v>838</v>
      </c>
      <c r="I492" s="5">
        <v>20496</v>
      </c>
      <c r="J492" s="2" t="s">
        <v>838</v>
      </c>
      <c r="K492" s="5">
        <v>318102</v>
      </c>
      <c r="L492" s="4" t="s">
        <v>833</v>
      </c>
      <c r="M492" s="5">
        <v>901107</v>
      </c>
      <c r="N492" s="2" t="s">
        <v>823</v>
      </c>
      <c r="O492" s="5">
        <v>760</v>
      </c>
      <c r="P492" s="2" t="s">
        <v>818</v>
      </c>
      <c r="Q492" s="5">
        <v>155298</v>
      </c>
      <c r="R492" s="2"/>
      <c r="T492" s="2"/>
    </row>
    <row r="493" spans="1:20" x14ac:dyDescent="0.2">
      <c r="A493" s="103"/>
      <c r="B493" s="28" t="s">
        <v>387</v>
      </c>
      <c r="C493" s="22" t="s">
        <v>820</v>
      </c>
      <c r="D493" s="2" t="s">
        <v>820</v>
      </c>
      <c r="E493" s="5">
        <v>507</v>
      </c>
      <c r="F493" s="2" t="b">
        <v>0</v>
      </c>
      <c r="G493" s="5">
        <v>1985</v>
      </c>
      <c r="H493" s="75" t="s">
        <v>820</v>
      </c>
      <c r="I493" s="5">
        <v>6158</v>
      </c>
      <c r="J493" s="2" t="b">
        <v>0</v>
      </c>
      <c r="K493" s="5">
        <v>2259</v>
      </c>
      <c r="L493" s="4" t="s">
        <v>833</v>
      </c>
      <c r="M493" s="5">
        <v>5108</v>
      </c>
      <c r="N493" s="2" t="s">
        <v>877</v>
      </c>
      <c r="O493" s="5">
        <v>313</v>
      </c>
      <c r="P493" s="2" t="s">
        <v>820</v>
      </c>
      <c r="Q493" s="5">
        <v>1872</v>
      </c>
      <c r="R493" s="2"/>
      <c r="T493" s="2"/>
    </row>
    <row r="494" spans="1:20" x14ac:dyDescent="0.2">
      <c r="A494" s="103"/>
      <c r="B494" s="28" t="s">
        <v>386</v>
      </c>
      <c r="C494" s="22" t="s">
        <v>818</v>
      </c>
      <c r="D494" s="2" t="s">
        <v>818</v>
      </c>
      <c r="E494" s="5">
        <v>435</v>
      </c>
      <c r="F494" s="2" t="b">
        <v>1</v>
      </c>
      <c r="G494" s="5">
        <v>9639</v>
      </c>
      <c r="H494" s="2" t="s">
        <v>818</v>
      </c>
      <c r="I494" s="5">
        <v>5356</v>
      </c>
      <c r="J494" s="2" t="b">
        <v>1</v>
      </c>
      <c r="K494" s="5">
        <v>2945</v>
      </c>
      <c r="L494" s="4" t="b">
        <v>1</v>
      </c>
      <c r="M494" s="5">
        <v>260894</v>
      </c>
      <c r="N494" s="2" t="s">
        <v>876</v>
      </c>
      <c r="O494" s="5">
        <v>334</v>
      </c>
      <c r="P494" s="64" t="s">
        <v>837</v>
      </c>
      <c r="Q494" s="5">
        <v>910061</v>
      </c>
      <c r="R494" s="2"/>
      <c r="T494" s="2"/>
    </row>
    <row r="495" spans="1:20" x14ac:dyDescent="0.2">
      <c r="A495" s="103"/>
      <c r="B495" s="28" t="s">
        <v>385</v>
      </c>
      <c r="C495" s="22" t="s">
        <v>818</v>
      </c>
      <c r="D495" s="2" t="s">
        <v>818</v>
      </c>
      <c r="E495" s="5">
        <v>400</v>
      </c>
      <c r="F495" s="2" t="b">
        <v>1</v>
      </c>
      <c r="G495" s="5">
        <v>182275</v>
      </c>
      <c r="H495" s="2" t="s">
        <v>838</v>
      </c>
      <c r="I495" s="5">
        <v>5158</v>
      </c>
      <c r="J495" s="2" t="b">
        <v>1</v>
      </c>
      <c r="K495" s="5">
        <v>3098</v>
      </c>
      <c r="L495" s="4" t="b">
        <v>1</v>
      </c>
      <c r="M495" s="5">
        <v>5796</v>
      </c>
      <c r="N495" s="2" t="s">
        <v>876</v>
      </c>
      <c r="O495" s="5">
        <v>285</v>
      </c>
      <c r="P495" s="2" t="s">
        <v>818</v>
      </c>
      <c r="Q495" s="5">
        <v>1996</v>
      </c>
      <c r="R495" s="2"/>
      <c r="T495" s="2"/>
    </row>
    <row r="496" spans="1:20" x14ac:dyDescent="0.2">
      <c r="A496" s="103"/>
      <c r="B496" s="28" t="s">
        <v>384</v>
      </c>
      <c r="C496" s="22" t="s">
        <v>820</v>
      </c>
      <c r="D496" s="2" t="s">
        <v>820</v>
      </c>
      <c r="E496" s="5">
        <v>519</v>
      </c>
      <c r="F496" s="2" t="b">
        <v>0</v>
      </c>
      <c r="G496" s="5">
        <v>4056</v>
      </c>
      <c r="H496" s="75" t="s">
        <v>820</v>
      </c>
      <c r="I496" s="5">
        <v>68049</v>
      </c>
      <c r="J496" s="2" t="b">
        <v>0</v>
      </c>
      <c r="K496" s="5">
        <v>4396</v>
      </c>
      <c r="L496" s="4" t="s">
        <v>833</v>
      </c>
      <c r="M496" s="5">
        <v>901261</v>
      </c>
      <c r="N496" s="2" t="s">
        <v>823</v>
      </c>
      <c r="O496" s="5">
        <v>294</v>
      </c>
      <c r="P496" s="2" t="s">
        <v>820</v>
      </c>
      <c r="Q496" s="5">
        <v>2745</v>
      </c>
      <c r="R496" s="2"/>
      <c r="T496" s="2"/>
    </row>
    <row r="497" spans="1:20" x14ac:dyDescent="0.2">
      <c r="A497" s="103"/>
      <c r="B497" s="28" t="s">
        <v>317</v>
      </c>
      <c r="C497" s="22" t="s">
        <v>818</v>
      </c>
      <c r="D497" s="2" t="s">
        <v>818</v>
      </c>
      <c r="E497" s="5">
        <v>814</v>
      </c>
      <c r="F497" s="2" t="b">
        <v>1</v>
      </c>
      <c r="G497" s="5">
        <v>182831</v>
      </c>
      <c r="H497" s="2" t="s">
        <v>818</v>
      </c>
      <c r="I497" s="5">
        <v>8432</v>
      </c>
      <c r="J497" s="2" t="b">
        <v>1</v>
      </c>
      <c r="K497" s="5">
        <v>4033</v>
      </c>
      <c r="L497" s="4" t="s">
        <v>837</v>
      </c>
      <c r="M497" s="5">
        <v>911796</v>
      </c>
      <c r="N497" s="2" t="s">
        <v>876</v>
      </c>
      <c r="O497" s="5">
        <v>378</v>
      </c>
      <c r="P497" s="2" t="s">
        <v>818</v>
      </c>
      <c r="Q497" s="5">
        <v>25445</v>
      </c>
      <c r="R497" s="2"/>
      <c r="T497" s="2"/>
    </row>
    <row r="498" spans="1:20" x14ac:dyDescent="0.2">
      <c r="A498" s="103"/>
      <c r="B498" s="28" t="s">
        <v>316</v>
      </c>
      <c r="C498" s="22" t="s">
        <v>818</v>
      </c>
      <c r="D498" s="2" t="s">
        <v>818</v>
      </c>
      <c r="E498" s="5">
        <v>417</v>
      </c>
      <c r="F498" s="2" t="b">
        <v>1</v>
      </c>
      <c r="G498" s="5">
        <v>47081</v>
      </c>
      <c r="H498" s="2" t="s">
        <v>818</v>
      </c>
      <c r="I498" s="5">
        <v>5036</v>
      </c>
      <c r="J498" s="2" t="b">
        <v>1</v>
      </c>
      <c r="K498" s="5">
        <v>2823</v>
      </c>
      <c r="L498" s="4" t="s">
        <v>833</v>
      </c>
      <c r="M498" s="5">
        <v>902061</v>
      </c>
      <c r="N498" s="2" t="s">
        <v>876</v>
      </c>
      <c r="O498" s="5">
        <v>373</v>
      </c>
      <c r="P498" s="2" t="s">
        <v>818</v>
      </c>
      <c r="Q498" s="5">
        <v>4794</v>
      </c>
      <c r="R498" s="2"/>
      <c r="T498" s="2"/>
    </row>
    <row r="499" spans="1:20" x14ac:dyDescent="0.2">
      <c r="A499" s="103"/>
      <c r="B499" s="28" t="s">
        <v>315</v>
      </c>
      <c r="C499" s="22" t="s">
        <v>818</v>
      </c>
      <c r="D499" s="2" t="s">
        <v>818</v>
      </c>
      <c r="E499" s="5">
        <v>432</v>
      </c>
      <c r="F499" s="2" t="b">
        <v>1</v>
      </c>
      <c r="G499" s="5">
        <v>47314</v>
      </c>
      <c r="H499" s="2" t="s">
        <v>818</v>
      </c>
      <c r="I499" s="5">
        <v>5061</v>
      </c>
      <c r="J499" s="2" t="b">
        <v>1</v>
      </c>
      <c r="K499" s="5">
        <v>2776</v>
      </c>
      <c r="L499" s="4" t="b">
        <v>1</v>
      </c>
      <c r="M499" s="5">
        <v>5937</v>
      </c>
      <c r="N499" s="2" t="s">
        <v>823</v>
      </c>
      <c r="O499" s="5">
        <v>2856</v>
      </c>
      <c r="P499" s="2" t="s">
        <v>818</v>
      </c>
      <c r="Q499" s="5">
        <v>3957</v>
      </c>
      <c r="R499" s="2"/>
      <c r="T499" s="2"/>
    </row>
    <row r="500" spans="1:20" x14ac:dyDescent="0.2">
      <c r="A500" s="103"/>
      <c r="B500" s="28" t="s">
        <v>314</v>
      </c>
      <c r="C500" s="22" t="s">
        <v>818</v>
      </c>
      <c r="D500" s="2" t="s">
        <v>818</v>
      </c>
      <c r="E500" s="5">
        <v>399</v>
      </c>
      <c r="F500" s="2" t="b">
        <v>1</v>
      </c>
      <c r="G500" s="5">
        <v>47456</v>
      </c>
      <c r="H500" s="2" t="s">
        <v>818</v>
      </c>
      <c r="I500" s="5">
        <v>6266</v>
      </c>
      <c r="J500" s="2" t="b">
        <v>1</v>
      </c>
      <c r="K500" s="5">
        <v>3539</v>
      </c>
      <c r="L500" s="4" t="b">
        <v>1</v>
      </c>
      <c r="M500" s="5">
        <v>6975</v>
      </c>
      <c r="N500" s="2" t="s">
        <v>823</v>
      </c>
      <c r="O500" s="5">
        <v>720019</v>
      </c>
      <c r="P500" s="2" t="s">
        <v>818</v>
      </c>
      <c r="Q500" s="5">
        <v>27098</v>
      </c>
      <c r="R500" s="2"/>
      <c r="T500" s="2"/>
    </row>
    <row r="501" spans="1:20" x14ac:dyDescent="0.2">
      <c r="A501" s="103"/>
      <c r="B501" s="28" t="s">
        <v>313</v>
      </c>
      <c r="C501" s="22" t="s">
        <v>818</v>
      </c>
      <c r="D501" s="2" t="s">
        <v>818</v>
      </c>
      <c r="E501" s="5">
        <v>399</v>
      </c>
      <c r="F501" s="2" t="b">
        <v>1</v>
      </c>
      <c r="G501" s="5">
        <v>37406</v>
      </c>
      <c r="H501" s="2" t="s">
        <v>818</v>
      </c>
      <c r="I501" s="5">
        <v>6216</v>
      </c>
      <c r="J501" s="2" t="b">
        <v>1</v>
      </c>
      <c r="K501" s="5">
        <v>2872</v>
      </c>
      <c r="L501" s="4" t="b">
        <v>1</v>
      </c>
      <c r="M501" s="5">
        <v>6481</v>
      </c>
      <c r="N501" s="2" t="s">
        <v>876</v>
      </c>
      <c r="O501" s="5">
        <v>316</v>
      </c>
      <c r="P501" s="2" t="s">
        <v>818</v>
      </c>
      <c r="Q501" s="5">
        <v>5459</v>
      </c>
      <c r="R501" s="2"/>
      <c r="T501" s="2"/>
    </row>
    <row r="502" spans="1:20" x14ac:dyDescent="0.2">
      <c r="A502" s="103"/>
      <c r="B502" s="28" t="s">
        <v>312</v>
      </c>
      <c r="C502" s="22" t="s">
        <v>818</v>
      </c>
      <c r="D502" s="2" t="s">
        <v>818</v>
      </c>
      <c r="E502" s="5">
        <v>411</v>
      </c>
      <c r="F502" s="2" t="b">
        <v>1</v>
      </c>
      <c r="G502" s="5">
        <v>48193</v>
      </c>
      <c r="H502" s="2" t="s">
        <v>818</v>
      </c>
      <c r="I502" s="5">
        <v>5478</v>
      </c>
      <c r="J502" s="2" t="b">
        <v>1</v>
      </c>
      <c r="K502" s="5">
        <v>2813</v>
      </c>
      <c r="L502" s="4" t="b">
        <v>1</v>
      </c>
      <c r="M502" s="5">
        <v>6045</v>
      </c>
      <c r="N502" s="2" t="s">
        <v>876</v>
      </c>
      <c r="O502" s="5">
        <v>348</v>
      </c>
      <c r="P502" s="2" t="s">
        <v>818</v>
      </c>
      <c r="Q502" s="5">
        <v>4062</v>
      </c>
      <c r="R502" s="2"/>
      <c r="T502" s="2"/>
    </row>
    <row r="503" spans="1:20" x14ac:dyDescent="0.2">
      <c r="A503" s="103"/>
      <c r="B503" s="28" t="s">
        <v>311</v>
      </c>
      <c r="C503" s="22" t="s">
        <v>818</v>
      </c>
      <c r="D503" s="2" t="s">
        <v>818</v>
      </c>
      <c r="E503" s="5">
        <v>417</v>
      </c>
      <c r="F503" s="2" t="b">
        <v>0</v>
      </c>
      <c r="G503" s="5">
        <v>4230</v>
      </c>
      <c r="H503" s="2" t="s">
        <v>818</v>
      </c>
      <c r="I503" s="5">
        <v>5131</v>
      </c>
      <c r="J503" s="2" t="b">
        <v>1</v>
      </c>
      <c r="K503" s="5">
        <v>2855</v>
      </c>
      <c r="L503" s="4" t="s">
        <v>833</v>
      </c>
      <c r="M503" s="5">
        <v>5703</v>
      </c>
      <c r="N503" s="2" t="s">
        <v>823</v>
      </c>
      <c r="O503" s="5">
        <v>386</v>
      </c>
      <c r="P503" s="2" t="s">
        <v>818</v>
      </c>
      <c r="Q503" s="5">
        <v>2483</v>
      </c>
      <c r="R503" s="2"/>
      <c r="T503" s="2"/>
    </row>
    <row r="504" spans="1:20" x14ac:dyDescent="0.2">
      <c r="A504" s="103"/>
      <c r="B504" s="28" t="s">
        <v>310</v>
      </c>
      <c r="C504" s="22" t="s">
        <v>818</v>
      </c>
      <c r="D504" s="2" t="s">
        <v>818</v>
      </c>
      <c r="E504" s="5">
        <v>1234</v>
      </c>
      <c r="F504" s="2" t="b">
        <v>1</v>
      </c>
      <c r="G504" s="5">
        <v>64012</v>
      </c>
      <c r="H504" s="2" t="s">
        <v>818</v>
      </c>
      <c r="I504" s="5">
        <v>26982</v>
      </c>
      <c r="J504" s="2" t="b">
        <v>1</v>
      </c>
      <c r="K504" s="5">
        <v>4425</v>
      </c>
      <c r="L504" s="4" t="s">
        <v>833</v>
      </c>
      <c r="M504" s="5">
        <v>901878</v>
      </c>
      <c r="N504" s="2" t="s">
        <v>876</v>
      </c>
      <c r="O504" s="5">
        <v>331</v>
      </c>
      <c r="P504" s="2" t="s">
        <v>818</v>
      </c>
      <c r="Q504" s="5">
        <v>13366</v>
      </c>
      <c r="R504" s="2"/>
      <c r="T504" s="2"/>
    </row>
    <row r="505" spans="1:20" x14ac:dyDescent="0.2">
      <c r="A505" s="103"/>
      <c r="B505" s="28" t="s">
        <v>307</v>
      </c>
      <c r="C505" s="22" t="s">
        <v>818</v>
      </c>
      <c r="D505" s="2" t="s">
        <v>818</v>
      </c>
      <c r="E505" s="5">
        <v>463</v>
      </c>
      <c r="F505" s="2" t="b">
        <v>1</v>
      </c>
      <c r="G505" s="5">
        <v>45726</v>
      </c>
      <c r="H505" s="2" t="s">
        <v>838</v>
      </c>
      <c r="I505" s="5">
        <v>5186</v>
      </c>
      <c r="J505" s="2" t="b">
        <v>1</v>
      </c>
      <c r="K505" s="5">
        <v>2802</v>
      </c>
      <c r="L505" s="4" t="b">
        <v>1</v>
      </c>
      <c r="M505" s="5">
        <v>5931</v>
      </c>
      <c r="N505" s="2" t="s">
        <v>876</v>
      </c>
      <c r="O505" s="5">
        <v>300</v>
      </c>
      <c r="P505" s="2" t="s">
        <v>818</v>
      </c>
      <c r="Q505" s="5">
        <v>2998</v>
      </c>
      <c r="R505" s="2"/>
      <c r="T505" s="2"/>
    </row>
    <row r="506" spans="1:20" x14ac:dyDescent="0.2">
      <c r="A506" s="103"/>
      <c r="B506" s="28" t="s">
        <v>306</v>
      </c>
      <c r="C506" s="22" t="s">
        <v>818</v>
      </c>
      <c r="D506" s="2" t="s">
        <v>818</v>
      </c>
      <c r="E506" s="5">
        <v>416</v>
      </c>
      <c r="F506" s="2" t="b">
        <v>1</v>
      </c>
      <c r="G506" s="5">
        <v>45815</v>
      </c>
      <c r="H506" s="2" t="s">
        <v>818</v>
      </c>
      <c r="I506" s="5">
        <v>5493</v>
      </c>
      <c r="J506" s="2" t="b">
        <v>1</v>
      </c>
      <c r="K506" s="5">
        <v>2799</v>
      </c>
      <c r="L506" s="4" t="b">
        <v>1</v>
      </c>
      <c r="M506" s="5">
        <v>5946</v>
      </c>
      <c r="N506" s="2" t="s">
        <v>876</v>
      </c>
      <c r="O506" s="5">
        <v>356</v>
      </c>
      <c r="P506" s="2" t="s">
        <v>818</v>
      </c>
      <c r="Q506" s="5">
        <v>4852</v>
      </c>
      <c r="R506" s="2"/>
      <c r="T506" s="2"/>
    </row>
    <row r="507" spans="1:20" x14ac:dyDescent="0.2">
      <c r="A507" s="103"/>
      <c r="B507" s="28" t="s">
        <v>305</v>
      </c>
      <c r="C507" s="22" t="s">
        <v>818</v>
      </c>
      <c r="D507" s="2" t="s">
        <v>818</v>
      </c>
      <c r="E507" s="5">
        <v>406</v>
      </c>
      <c r="F507" s="2" t="b">
        <v>1</v>
      </c>
      <c r="G507" s="5">
        <v>182891</v>
      </c>
      <c r="H507" s="2" t="s">
        <v>818</v>
      </c>
      <c r="I507" s="5">
        <v>5311</v>
      </c>
      <c r="J507" s="2" t="b">
        <v>1</v>
      </c>
      <c r="K507" s="5">
        <v>2776</v>
      </c>
      <c r="L507" s="4" t="s">
        <v>833</v>
      </c>
      <c r="M507" s="5">
        <v>5610</v>
      </c>
      <c r="N507" s="2" t="s">
        <v>823</v>
      </c>
      <c r="O507" s="5">
        <v>369</v>
      </c>
      <c r="P507" s="2" t="s">
        <v>818</v>
      </c>
      <c r="Q507" s="5">
        <v>2649</v>
      </c>
      <c r="R507" s="2"/>
      <c r="T507" s="2"/>
    </row>
    <row r="508" spans="1:20" x14ac:dyDescent="0.2">
      <c r="A508" s="103"/>
      <c r="B508" s="28" t="s">
        <v>304</v>
      </c>
      <c r="C508" s="22" t="s">
        <v>818</v>
      </c>
      <c r="D508" s="2" t="s">
        <v>818</v>
      </c>
      <c r="E508" s="5">
        <v>419</v>
      </c>
      <c r="F508" s="2" t="b">
        <v>1</v>
      </c>
      <c r="G508" s="5">
        <v>182863</v>
      </c>
      <c r="H508" s="2" t="s">
        <v>818</v>
      </c>
      <c r="I508" s="5">
        <v>5243</v>
      </c>
      <c r="J508" s="2" t="b">
        <v>1</v>
      </c>
      <c r="K508" s="5">
        <v>2878</v>
      </c>
      <c r="L508" s="4" t="s">
        <v>833</v>
      </c>
      <c r="M508" s="5">
        <v>5556</v>
      </c>
      <c r="N508" s="2" t="s">
        <v>823</v>
      </c>
      <c r="O508" s="5">
        <v>354</v>
      </c>
      <c r="P508" s="2" t="s">
        <v>818</v>
      </c>
      <c r="Q508" s="5">
        <v>2795</v>
      </c>
      <c r="R508" s="2"/>
      <c r="T508" s="2"/>
    </row>
    <row r="509" spans="1:20" x14ac:dyDescent="0.2">
      <c r="A509" s="103"/>
      <c r="B509" s="28" t="s">
        <v>303</v>
      </c>
      <c r="C509" s="22" t="s">
        <v>818</v>
      </c>
      <c r="D509" s="2" t="s">
        <v>818</v>
      </c>
      <c r="E509" s="5">
        <v>422</v>
      </c>
      <c r="F509" s="2" t="b">
        <v>1</v>
      </c>
      <c r="G509" s="5">
        <v>49044</v>
      </c>
      <c r="H509" s="2" t="s">
        <v>818</v>
      </c>
      <c r="I509" s="5">
        <v>2919</v>
      </c>
      <c r="J509" s="2" t="b">
        <v>1</v>
      </c>
      <c r="K509" s="5">
        <v>5345</v>
      </c>
      <c r="L509" s="4" t="s">
        <v>833</v>
      </c>
      <c r="M509" s="5">
        <v>5663</v>
      </c>
      <c r="N509" s="2" t="s">
        <v>876</v>
      </c>
      <c r="O509" s="5">
        <v>326</v>
      </c>
      <c r="P509" s="2" t="s">
        <v>818</v>
      </c>
      <c r="Q509" s="5">
        <v>2043</v>
      </c>
      <c r="R509" s="2"/>
      <c r="T509" s="2"/>
    </row>
    <row r="510" spans="1:20" x14ac:dyDescent="0.2">
      <c r="A510" s="103"/>
      <c r="B510" s="28" t="s">
        <v>302</v>
      </c>
      <c r="C510" s="22" t="s">
        <v>818</v>
      </c>
      <c r="D510" s="2" t="s">
        <v>818</v>
      </c>
      <c r="E510" s="5">
        <v>407</v>
      </c>
      <c r="F510" s="2" t="b">
        <v>1</v>
      </c>
      <c r="G510" s="5">
        <v>34098</v>
      </c>
      <c r="H510" s="2" t="s">
        <v>818</v>
      </c>
      <c r="I510" s="5">
        <v>23378</v>
      </c>
      <c r="J510" s="2" t="b">
        <v>1</v>
      </c>
      <c r="K510" s="5">
        <v>2727</v>
      </c>
      <c r="L510" s="4" t="b">
        <v>1</v>
      </c>
      <c r="M510" s="5">
        <v>5865</v>
      </c>
      <c r="N510" s="2" t="s">
        <v>876</v>
      </c>
      <c r="O510" s="5">
        <v>344</v>
      </c>
      <c r="P510" s="2" t="s">
        <v>818</v>
      </c>
      <c r="Q510" s="5">
        <v>1661</v>
      </c>
      <c r="R510" s="2"/>
      <c r="T510" s="2"/>
    </row>
    <row r="511" spans="1:20" x14ac:dyDescent="0.2">
      <c r="A511" s="103"/>
      <c r="B511" s="28" t="s">
        <v>301</v>
      </c>
      <c r="C511" s="22" t="s">
        <v>818</v>
      </c>
      <c r="D511" s="2" t="s">
        <v>818</v>
      </c>
      <c r="E511" s="5">
        <v>402</v>
      </c>
      <c r="F511" s="2" t="b">
        <v>1</v>
      </c>
      <c r="G511" s="5">
        <v>37310</v>
      </c>
      <c r="H511" s="2" t="s">
        <v>818</v>
      </c>
      <c r="I511" s="5">
        <v>6147</v>
      </c>
      <c r="J511" s="2" t="b">
        <v>1</v>
      </c>
      <c r="K511" s="5">
        <v>2801</v>
      </c>
      <c r="L511" s="4" t="s">
        <v>833</v>
      </c>
      <c r="M511" s="5">
        <v>902075</v>
      </c>
      <c r="N511" s="2" t="s">
        <v>876</v>
      </c>
      <c r="O511" s="5">
        <v>345</v>
      </c>
      <c r="P511" s="2" t="s">
        <v>818</v>
      </c>
      <c r="Q511" s="5">
        <v>1979</v>
      </c>
      <c r="R511" s="2"/>
      <c r="T511" s="2"/>
    </row>
    <row r="512" spans="1:20" x14ac:dyDescent="0.2">
      <c r="A512" s="103"/>
      <c r="B512" s="28" t="s">
        <v>300</v>
      </c>
      <c r="C512" s="22" t="s">
        <v>818</v>
      </c>
      <c r="D512" s="2" t="s">
        <v>818</v>
      </c>
      <c r="E512" s="5">
        <v>425</v>
      </c>
      <c r="F512" s="2" t="b">
        <v>1</v>
      </c>
      <c r="G512" s="5">
        <v>37785</v>
      </c>
      <c r="H512" s="2" t="s">
        <v>818</v>
      </c>
      <c r="I512" s="5">
        <v>6228</v>
      </c>
      <c r="J512" s="2" t="b">
        <v>1</v>
      </c>
      <c r="K512" s="5">
        <v>2882</v>
      </c>
      <c r="L512" s="4" t="b">
        <v>1</v>
      </c>
      <c r="M512" s="5">
        <v>6693</v>
      </c>
      <c r="N512" s="2" t="s">
        <v>876</v>
      </c>
      <c r="O512" s="5">
        <v>311</v>
      </c>
      <c r="P512" s="2" t="s">
        <v>818</v>
      </c>
      <c r="Q512" s="5">
        <v>2481</v>
      </c>
      <c r="R512" s="2"/>
      <c r="T512" s="2"/>
    </row>
    <row r="513" spans="1:20" x14ac:dyDescent="0.2">
      <c r="A513" s="103"/>
      <c r="B513" s="28" t="s">
        <v>299</v>
      </c>
      <c r="C513" s="22" t="s">
        <v>818</v>
      </c>
      <c r="D513" s="2" t="s">
        <v>818</v>
      </c>
      <c r="E513" s="5">
        <v>441</v>
      </c>
      <c r="F513" s="2" t="b">
        <v>1</v>
      </c>
      <c r="G513" s="5">
        <v>59421</v>
      </c>
      <c r="H513" s="2" t="s">
        <v>818</v>
      </c>
      <c r="I513" s="5">
        <v>7201</v>
      </c>
      <c r="J513" s="2" t="b">
        <v>1</v>
      </c>
      <c r="K513" s="5">
        <v>2882</v>
      </c>
      <c r="L513" s="4" t="b">
        <v>1</v>
      </c>
      <c r="M513" s="5">
        <v>6028</v>
      </c>
      <c r="N513" s="2" t="s">
        <v>876</v>
      </c>
      <c r="O513" s="5">
        <v>344</v>
      </c>
      <c r="P513" s="2" t="s">
        <v>818</v>
      </c>
      <c r="Q513" s="5">
        <v>1974</v>
      </c>
      <c r="R513" s="2"/>
      <c r="T513" s="2"/>
    </row>
    <row r="514" spans="1:20" x14ac:dyDescent="0.2">
      <c r="A514" s="103"/>
      <c r="B514" s="28" t="s">
        <v>298</v>
      </c>
      <c r="C514" s="22" t="s">
        <v>818</v>
      </c>
      <c r="D514" s="2" t="s">
        <v>818</v>
      </c>
      <c r="E514" s="5">
        <v>1728</v>
      </c>
      <c r="F514" s="2" t="b">
        <v>1</v>
      </c>
      <c r="G514" s="5">
        <v>59464</v>
      </c>
      <c r="H514" s="2" t="s">
        <v>818</v>
      </c>
      <c r="I514" s="5">
        <v>7048</v>
      </c>
      <c r="J514" s="2" t="b">
        <v>1</v>
      </c>
      <c r="K514" s="5">
        <v>4285</v>
      </c>
      <c r="L514" s="4" t="b">
        <v>1</v>
      </c>
      <c r="M514" s="5">
        <v>6183</v>
      </c>
      <c r="N514" s="2" t="s">
        <v>823</v>
      </c>
      <c r="O514" s="5">
        <v>4547</v>
      </c>
      <c r="P514" s="2" t="s">
        <v>818</v>
      </c>
      <c r="Q514" s="5">
        <v>2266</v>
      </c>
      <c r="R514" s="2"/>
      <c r="T514" s="2"/>
    </row>
    <row r="515" spans="1:20" x14ac:dyDescent="0.2">
      <c r="A515" s="103"/>
      <c r="B515" s="28" t="s">
        <v>297</v>
      </c>
      <c r="C515" s="22" t="s">
        <v>818</v>
      </c>
      <c r="D515" s="2" t="s">
        <v>838</v>
      </c>
      <c r="E515" s="5">
        <v>1621</v>
      </c>
      <c r="F515" s="2" t="b">
        <v>1</v>
      </c>
      <c r="G515" s="5">
        <v>79929</v>
      </c>
      <c r="H515" s="2" t="s">
        <v>818</v>
      </c>
      <c r="I515" s="5">
        <v>9489</v>
      </c>
      <c r="J515" s="2" t="b">
        <v>1</v>
      </c>
      <c r="K515" s="5">
        <v>3010</v>
      </c>
      <c r="L515" s="4" t="b">
        <v>1</v>
      </c>
      <c r="M515" s="5">
        <v>6663</v>
      </c>
      <c r="N515" s="2" t="s">
        <v>823</v>
      </c>
      <c r="O515" s="5">
        <v>449</v>
      </c>
      <c r="P515" s="2" t="s">
        <v>818</v>
      </c>
      <c r="Q515" s="5">
        <v>2796</v>
      </c>
      <c r="R515" s="2"/>
      <c r="T515" s="2"/>
    </row>
    <row r="516" spans="1:20" x14ac:dyDescent="0.2">
      <c r="A516" s="103"/>
      <c r="B516" s="28" t="s">
        <v>296</v>
      </c>
      <c r="C516" s="22" t="s">
        <v>818</v>
      </c>
      <c r="D516" s="2" t="s">
        <v>818</v>
      </c>
      <c r="E516" s="5">
        <v>1720</v>
      </c>
      <c r="F516" s="2" t="b">
        <v>1</v>
      </c>
      <c r="G516" s="5">
        <v>75812</v>
      </c>
      <c r="H516" s="2" t="s">
        <v>818</v>
      </c>
      <c r="I516" s="5">
        <v>25139</v>
      </c>
      <c r="J516" s="2" t="b">
        <v>1</v>
      </c>
      <c r="K516" s="5">
        <v>3044</v>
      </c>
      <c r="L516" s="4" t="b">
        <v>1</v>
      </c>
      <c r="M516" s="5">
        <v>6749</v>
      </c>
      <c r="N516" s="2" t="s">
        <v>876</v>
      </c>
      <c r="O516" s="5">
        <v>345</v>
      </c>
      <c r="P516" s="2" t="s">
        <v>818</v>
      </c>
      <c r="Q516" s="5">
        <v>3278</v>
      </c>
      <c r="R516" s="2"/>
      <c r="T516" s="2"/>
    </row>
    <row r="517" spans="1:20" x14ac:dyDescent="0.2">
      <c r="A517" s="103"/>
      <c r="B517" s="28" t="s">
        <v>295</v>
      </c>
      <c r="C517" s="22" t="s">
        <v>818</v>
      </c>
      <c r="D517" s="2" t="s">
        <v>818</v>
      </c>
      <c r="E517" s="5">
        <v>3265</v>
      </c>
      <c r="F517" s="2" t="b">
        <v>1</v>
      </c>
      <c r="G517" s="5">
        <v>79943</v>
      </c>
      <c r="H517" s="2" t="s">
        <v>818</v>
      </c>
      <c r="I517" s="5">
        <v>8523</v>
      </c>
      <c r="J517" s="2" t="b">
        <v>1</v>
      </c>
      <c r="K517" s="5">
        <v>3236</v>
      </c>
      <c r="L517" s="4" t="s">
        <v>833</v>
      </c>
      <c r="M517" s="5">
        <v>902038</v>
      </c>
      <c r="N517" s="2" t="s">
        <v>876</v>
      </c>
      <c r="O517" s="5">
        <v>366</v>
      </c>
      <c r="P517" s="2" t="s">
        <v>818</v>
      </c>
      <c r="Q517" s="5">
        <v>16115</v>
      </c>
      <c r="R517" s="2"/>
      <c r="T517" s="2"/>
    </row>
    <row r="518" spans="1:20" x14ac:dyDescent="0.2">
      <c r="A518" s="103"/>
      <c r="B518" s="28" t="s">
        <v>294</v>
      </c>
      <c r="C518" s="22" t="s">
        <v>818</v>
      </c>
      <c r="D518" s="2" t="s">
        <v>818</v>
      </c>
      <c r="E518" s="5">
        <v>3080</v>
      </c>
      <c r="F518" s="2" t="b">
        <v>1</v>
      </c>
      <c r="G518" s="5">
        <v>82229</v>
      </c>
      <c r="H518" s="2" t="s">
        <v>818</v>
      </c>
      <c r="I518" s="5">
        <v>68763</v>
      </c>
      <c r="J518" s="2" t="b">
        <v>1</v>
      </c>
      <c r="K518" s="5">
        <v>3516</v>
      </c>
      <c r="L518" s="4" t="s">
        <v>833</v>
      </c>
      <c r="M518" s="5">
        <v>901999</v>
      </c>
      <c r="N518" s="2" t="s">
        <v>876</v>
      </c>
      <c r="O518" s="5">
        <v>339</v>
      </c>
      <c r="P518" s="2" t="s">
        <v>818</v>
      </c>
      <c r="Q518" s="5">
        <v>96409</v>
      </c>
      <c r="R518" s="2"/>
      <c r="T518" s="2"/>
    </row>
    <row r="519" spans="1:20" x14ac:dyDescent="0.2">
      <c r="A519" s="103"/>
      <c r="B519" s="28" t="s">
        <v>293</v>
      </c>
      <c r="C519" s="22" t="s">
        <v>818</v>
      </c>
      <c r="D519" s="2" t="s">
        <v>838</v>
      </c>
      <c r="E519" s="5">
        <v>1863</v>
      </c>
      <c r="F519" s="2" t="b">
        <v>1</v>
      </c>
      <c r="G519" s="5">
        <v>183234</v>
      </c>
      <c r="H519" s="2" t="s">
        <v>818</v>
      </c>
      <c r="I519" s="5">
        <v>5389</v>
      </c>
      <c r="J519" s="2" t="b">
        <v>1</v>
      </c>
      <c r="K519" s="5">
        <v>2908</v>
      </c>
      <c r="L519" s="4" t="s">
        <v>833</v>
      </c>
      <c r="M519" s="5">
        <v>902839</v>
      </c>
      <c r="N519" s="2" t="s">
        <v>876</v>
      </c>
      <c r="O519" s="5">
        <v>477</v>
      </c>
      <c r="P519" s="2" t="s">
        <v>818</v>
      </c>
      <c r="Q519" s="5">
        <v>1895</v>
      </c>
      <c r="R519" s="2"/>
      <c r="T519" s="2"/>
    </row>
    <row r="520" spans="1:20" x14ac:dyDescent="0.2">
      <c r="A520" s="103"/>
      <c r="B520" s="28" t="s">
        <v>292</v>
      </c>
      <c r="C520" s="22" t="s">
        <v>818</v>
      </c>
      <c r="D520" s="2" t="s">
        <v>818</v>
      </c>
      <c r="E520" s="5">
        <v>1638</v>
      </c>
      <c r="F520" s="2" t="b">
        <v>1</v>
      </c>
      <c r="G520" s="5">
        <v>184086</v>
      </c>
      <c r="H520" s="2" t="s">
        <v>818</v>
      </c>
      <c r="I520" s="5">
        <v>5728</v>
      </c>
      <c r="J520" s="2" t="b">
        <v>1</v>
      </c>
      <c r="K520" s="5">
        <v>3038</v>
      </c>
      <c r="L520" s="4" t="b">
        <v>1</v>
      </c>
      <c r="M520" s="5">
        <v>8887</v>
      </c>
      <c r="N520" s="2" t="s">
        <v>876</v>
      </c>
      <c r="O520" s="5">
        <v>519</v>
      </c>
      <c r="P520" s="2" t="s">
        <v>818</v>
      </c>
      <c r="Q520" s="5">
        <v>3406</v>
      </c>
      <c r="R520" s="2"/>
      <c r="T520" s="2"/>
    </row>
    <row r="521" spans="1:20" x14ac:dyDescent="0.2">
      <c r="A521" s="103"/>
      <c r="B521" s="28" t="s">
        <v>291</v>
      </c>
      <c r="C521" s="22" t="s">
        <v>818</v>
      </c>
      <c r="D521" s="2" t="s">
        <v>818</v>
      </c>
      <c r="E521" s="5">
        <v>2571</v>
      </c>
      <c r="F521" s="2" t="b">
        <v>1</v>
      </c>
      <c r="G521" s="5">
        <v>182889</v>
      </c>
      <c r="H521" s="2" t="s">
        <v>818</v>
      </c>
      <c r="I521" s="5">
        <v>8050</v>
      </c>
      <c r="J521" s="2" t="b">
        <v>1</v>
      </c>
      <c r="K521" s="5">
        <v>3287</v>
      </c>
      <c r="L521" s="4" t="s">
        <v>833</v>
      </c>
      <c r="M521" s="5">
        <v>902016</v>
      </c>
      <c r="N521" s="2" t="s">
        <v>876</v>
      </c>
      <c r="O521" s="5">
        <v>393</v>
      </c>
      <c r="P521" s="2" t="s">
        <v>818</v>
      </c>
      <c r="Q521" s="5">
        <v>3696</v>
      </c>
      <c r="R521" s="2"/>
      <c r="T521" s="2"/>
    </row>
    <row r="522" spans="1:20" x14ac:dyDescent="0.2">
      <c r="A522" s="103"/>
      <c r="B522" s="28" t="s">
        <v>290</v>
      </c>
      <c r="C522" s="22" t="s">
        <v>818</v>
      </c>
      <c r="D522" s="2" t="s">
        <v>818</v>
      </c>
      <c r="E522" s="5">
        <v>2542</v>
      </c>
      <c r="F522" s="2" t="b">
        <v>1</v>
      </c>
      <c r="G522" s="5">
        <v>183980</v>
      </c>
      <c r="H522" s="2" t="s">
        <v>818</v>
      </c>
      <c r="I522" s="5">
        <v>68174</v>
      </c>
      <c r="J522" s="2" t="b">
        <v>1</v>
      </c>
      <c r="K522" s="5">
        <v>3798</v>
      </c>
      <c r="L522" s="4" t="s">
        <v>833</v>
      </c>
      <c r="M522" s="5">
        <v>902303</v>
      </c>
      <c r="N522" s="2" t="s">
        <v>876</v>
      </c>
      <c r="O522" s="5">
        <v>383</v>
      </c>
      <c r="P522" s="2" t="s">
        <v>818</v>
      </c>
      <c r="Q522" s="5">
        <v>117685</v>
      </c>
      <c r="R522" s="2"/>
      <c r="T522" s="2"/>
    </row>
    <row r="523" spans="1:20" x14ac:dyDescent="0.2">
      <c r="A523" s="103"/>
      <c r="B523" s="28" t="s">
        <v>289</v>
      </c>
      <c r="C523" s="22" t="s">
        <v>818</v>
      </c>
      <c r="D523" s="2" t="s">
        <v>818</v>
      </c>
      <c r="E523" s="5">
        <v>4931</v>
      </c>
      <c r="F523" s="2" t="b">
        <v>1</v>
      </c>
      <c r="G523" s="5">
        <v>182564</v>
      </c>
      <c r="H523" s="2" t="s">
        <v>818</v>
      </c>
      <c r="I523" s="5">
        <v>5604</v>
      </c>
      <c r="J523" s="2" t="b">
        <v>1</v>
      </c>
      <c r="K523" s="5">
        <v>3305</v>
      </c>
      <c r="L523" s="4" t="b">
        <v>1</v>
      </c>
      <c r="M523" s="5">
        <v>8933</v>
      </c>
      <c r="N523" s="2" t="s">
        <v>876</v>
      </c>
      <c r="O523" s="5">
        <v>347</v>
      </c>
      <c r="P523" s="2" t="s">
        <v>818</v>
      </c>
      <c r="Q523" s="5">
        <v>11100</v>
      </c>
      <c r="R523" s="2"/>
      <c r="T523" s="2"/>
    </row>
    <row r="524" spans="1:20" x14ac:dyDescent="0.2">
      <c r="A524" s="103"/>
      <c r="B524" s="28" t="s">
        <v>288</v>
      </c>
      <c r="C524" s="22" t="s">
        <v>818</v>
      </c>
      <c r="D524" s="2" t="s">
        <v>818</v>
      </c>
      <c r="E524" s="5">
        <v>2949</v>
      </c>
      <c r="F524" s="2" t="b">
        <v>1</v>
      </c>
      <c r="G524" s="5">
        <v>182308</v>
      </c>
      <c r="H524" s="2" t="s">
        <v>818</v>
      </c>
      <c r="I524" s="5">
        <v>9334</v>
      </c>
      <c r="J524" s="2" t="b">
        <v>1</v>
      </c>
      <c r="K524" s="5">
        <v>3923</v>
      </c>
      <c r="L524" s="4" t="b">
        <v>1</v>
      </c>
      <c r="M524" s="5">
        <v>6886</v>
      </c>
      <c r="N524" s="2" t="s">
        <v>823</v>
      </c>
      <c r="O524" s="5">
        <v>411</v>
      </c>
      <c r="P524" s="2" t="s">
        <v>818</v>
      </c>
      <c r="Q524" s="5">
        <v>5110</v>
      </c>
      <c r="R524" s="2"/>
      <c r="T524" s="2"/>
    </row>
    <row r="525" spans="1:20" x14ac:dyDescent="0.2">
      <c r="A525" s="103"/>
      <c r="B525" s="28" t="s">
        <v>287</v>
      </c>
      <c r="C525" s="22" t="s">
        <v>818</v>
      </c>
      <c r="D525" s="2" t="s">
        <v>818</v>
      </c>
      <c r="E525" s="5">
        <v>3394</v>
      </c>
      <c r="F525" s="2" t="b">
        <v>1</v>
      </c>
      <c r="G525" s="5">
        <v>182843</v>
      </c>
      <c r="H525" s="2" t="s">
        <v>818</v>
      </c>
      <c r="I525" s="5">
        <v>9417</v>
      </c>
      <c r="J525" s="2" t="b">
        <v>1</v>
      </c>
      <c r="K525" s="5">
        <v>4308</v>
      </c>
      <c r="L525" s="4" t="b">
        <v>1</v>
      </c>
      <c r="M525" s="5">
        <v>6742</v>
      </c>
      <c r="N525" s="2" t="s">
        <v>823</v>
      </c>
      <c r="O525" s="5">
        <v>532</v>
      </c>
      <c r="P525" s="2" t="s">
        <v>818</v>
      </c>
      <c r="Q525" s="5">
        <v>10087</v>
      </c>
      <c r="R525" s="2"/>
      <c r="T525" s="2"/>
    </row>
    <row r="526" spans="1:20" x14ac:dyDescent="0.2">
      <c r="A526" s="103"/>
      <c r="B526" s="28" t="s">
        <v>286</v>
      </c>
      <c r="C526" s="22" t="s">
        <v>818</v>
      </c>
      <c r="D526" s="2" t="s">
        <v>818</v>
      </c>
      <c r="E526" s="5">
        <v>2931</v>
      </c>
      <c r="F526" s="2" t="b">
        <v>1</v>
      </c>
      <c r="G526" s="5">
        <v>182974</v>
      </c>
      <c r="H526" s="2" t="s">
        <v>818</v>
      </c>
      <c r="I526" s="5">
        <v>9478</v>
      </c>
      <c r="J526" s="2" t="b">
        <v>1</v>
      </c>
      <c r="K526" s="5">
        <v>3423</v>
      </c>
      <c r="L526" s="4" t="s">
        <v>837</v>
      </c>
      <c r="M526" s="5">
        <v>911820</v>
      </c>
      <c r="N526" s="2" t="s">
        <v>876</v>
      </c>
      <c r="O526" s="5">
        <v>434</v>
      </c>
      <c r="P526" s="2" t="s">
        <v>818</v>
      </c>
      <c r="Q526" s="5">
        <v>35031</v>
      </c>
      <c r="R526" s="2"/>
      <c r="T526" s="2"/>
    </row>
    <row r="527" spans="1:20" x14ac:dyDescent="0.2">
      <c r="A527" s="103"/>
      <c r="B527" s="28" t="s">
        <v>285</v>
      </c>
      <c r="C527" s="22" t="s">
        <v>818</v>
      </c>
      <c r="D527" s="2" t="s">
        <v>818</v>
      </c>
      <c r="E527" s="5">
        <v>3840</v>
      </c>
      <c r="F527" s="2" t="b">
        <v>1</v>
      </c>
      <c r="G527" s="5">
        <v>63613</v>
      </c>
      <c r="H527" s="2" t="s">
        <v>818</v>
      </c>
      <c r="I527" s="5">
        <v>9824</v>
      </c>
      <c r="J527" s="2" t="b">
        <v>1</v>
      </c>
      <c r="K527" s="5">
        <v>4781</v>
      </c>
      <c r="L527" s="4" t="s">
        <v>833</v>
      </c>
      <c r="M527" s="5">
        <v>902043</v>
      </c>
      <c r="N527" s="2" t="s">
        <v>876</v>
      </c>
      <c r="O527" s="5">
        <v>337</v>
      </c>
      <c r="P527" s="2" t="s">
        <v>818</v>
      </c>
      <c r="Q527" s="5">
        <v>125874</v>
      </c>
      <c r="R527" s="2"/>
      <c r="T527" s="2"/>
    </row>
    <row r="528" spans="1:20" x14ac:dyDescent="0.2">
      <c r="A528" s="103"/>
      <c r="B528" s="28" t="s">
        <v>284</v>
      </c>
      <c r="C528" s="22" t="s">
        <v>818</v>
      </c>
      <c r="D528" s="2" t="s">
        <v>818</v>
      </c>
      <c r="E528" s="5">
        <v>3915</v>
      </c>
      <c r="F528" s="2" t="b">
        <v>1</v>
      </c>
      <c r="G528" s="5">
        <v>49874</v>
      </c>
      <c r="H528" s="2" t="s">
        <v>818</v>
      </c>
      <c r="I528" s="5">
        <v>6577</v>
      </c>
      <c r="J528" s="64" t="s">
        <v>833</v>
      </c>
      <c r="K528" s="5">
        <v>900345</v>
      </c>
      <c r="L528" s="4" t="b">
        <v>1</v>
      </c>
      <c r="M528" s="5">
        <v>6661</v>
      </c>
      <c r="N528" s="2" t="s">
        <v>876</v>
      </c>
      <c r="O528" s="5">
        <v>475</v>
      </c>
      <c r="P528" s="2" t="s">
        <v>818</v>
      </c>
      <c r="Q528" s="5">
        <v>6847</v>
      </c>
      <c r="R528" s="2"/>
      <c r="T528" s="2"/>
    </row>
    <row r="529" spans="1:20" x14ac:dyDescent="0.2">
      <c r="A529" s="103"/>
      <c r="B529" s="28" t="s">
        <v>283</v>
      </c>
      <c r="C529" s="22" t="s">
        <v>818</v>
      </c>
      <c r="D529" s="2" t="s">
        <v>818</v>
      </c>
      <c r="E529" s="5">
        <v>3257</v>
      </c>
      <c r="F529" s="2" t="b">
        <v>1</v>
      </c>
      <c r="G529" s="5">
        <v>182859</v>
      </c>
      <c r="H529" s="2" t="s">
        <v>818</v>
      </c>
      <c r="I529" s="5">
        <v>8869</v>
      </c>
      <c r="J529" s="2" t="b">
        <v>1</v>
      </c>
      <c r="K529" s="5">
        <v>3718</v>
      </c>
      <c r="L529" s="4" t="b">
        <v>1</v>
      </c>
      <c r="M529" s="5">
        <v>6654</v>
      </c>
      <c r="N529" s="2" t="s">
        <v>876</v>
      </c>
      <c r="O529" s="5">
        <v>479</v>
      </c>
      <c r="P529" s="2" t="s">
        <v>818</v>
      </c>
      <c r="Q529" s="5">
        <v>26224</v>
      </c>
      <c r="R529" s="2"/>
      <c r="T529" s="2"/>
    </row>
    <row r="530" spans="1:20" x14ac:dyDescent="0.2">
      <c r="A530" s="103"/>
      <c r="B530" s="28" t="s">
        <v>282</v>
      </c>
      <c r="C530" s="22" t="s">
        <v>818</v>
      </c>
      <c r="D530" s="2" t="s">
        <v>818</v>
      </c>
      <c r="E530" s="5">
        <v>1868</v>
      </c>
      <c r="F530" s="2" t="b">
        <v>1</v>
      </c>
      <c r="G530" s="5">
        <v>46348</v>
      </c>
      <c r="H530" s="2" t="s">
        <v>818</v>
      </c>
      <c r="I530" s="5">
        <v>7056</v>
      </c>
      <c r="J530" s="2" t="b">
        <v>1</v>
      </c>
      <c r="K530" s="5">
        <v>2525</v>
      </c>
      <c r="L530" s="4" t="b">
        <v>1</v>
      </c>
      <c r="M530" s="5">
        <v>6084</v>
      </c>
      <c r="N530" s="2" t="s">
        <v>876</v>
      </c>
      <c r="O530" s="5">
        <v>332</v>
      </c>
      <c r="P530" s="2" t="s">
        <v>818</v>
      </c>
      <c r="Q530" s="5">
        <v>3719</v>
      </c>
      <c r="R530" s="2"/>
      <c r="T530" s="2"/>
    </row>
    <row r="531" spans="1:20" x14ac:dyDescent="0.2">
      <c r="A531" s="103"/>
      <c r="B531" s="28" t="s">
        <v>280</v>
      </c>
      <c r="C531" s="22" t="s">
        <v>818</v>
      </c>
      <c r="D531" s="2" t="s">
        <v>818</v>
      </c>
      <c r="E531" s="5">
        <v>1550</v>
      </c>
      <c r="F531" s="2" t="b">
        <v>1</v>
      </c>
      <c r="G531" s="5">
        <v>182304</v>
      </c>
      <c r="H531" s="2" t="s">
        <v>818</v>
      </c>
      <c r="I531" s="5">
        <v>4685</v>
      </c>
      <c r="J531" s="2" t="b">
        <v>1</v>
      </c>
      <c r="K531" s="5">
        <v>3595</v>
      </c>
      <c r="L531" s="4" t="b">
        <v>1</v>
      </c>
      <c r="M531" s="5">
        <v>5818</v>
      </c>
      <c r="N531" s="2" t="s">
        <v>876</v>
      </c>
      <c r="O531" s="5">
        <v>325</v>
      </c>
      <c r="P531" s="2" t="s">
        <v>818</v>
      </c>
      <c r="Q531" s="5">
        <v>2384</v>
      </c>
      <c r="R531" s="2"/>
      <c r="T531" s="2"/>
    </row>
    <row r="532" spans="1:20" x14ac:dyDescent="0.2">
      <c r="A532" s="103"/>
      <c r="B532" s="28" t="s">
        <v>279</v>
      </c>
      <c r="C532" s="22" t="s">
        <v>818</v>
      </c>
      <c r="D532" s="2" t="s">
        <v>818</v>
      </c>
      <c r="E532" s="5">
        <v>3240</v>
      </c>
      <c r="F532" s="2" t="b">
        <v>1</v>
      </c>
      <c r="G532" s="5">
        <v>88745</v>
      </c>
      <c r="H532" s="2" t="s">
        <v>818</v>
      </c>
      <c r="I532" s="5">
        <v>30022</v>
      </c>
      <c r="J532" s="2" t="s">
        <v>833</v>
      </c>
      <c r="K532" s="5">
        <v>13412</v>
      </c>
      <c r="L532" s="4" t="s">
        <v>833</v>
      </c>
      <c r="M532" s="5">
        <v>6286</v>
      </c>
      <c r="N532" s="2" t="s">
        <v>823</v>
      </c>
      <c r="O532" s="5">
        <v>661</v>
      </c>
      <c r="P532" s="2" t="s">
        <v>818</v>
      </c>
      <c r="Q532" s="5">
        <v>8194</v>
      </c>
      <c r="R532" s="2"/>
      <c r="T532" s="2"/>
    </row>
    <row r="533" spans="1:20" x14ac:dyDescent="0.2">
      <c r="A533" s="103"/>
      <c r="B533" s="28" t="s">
        <v>278</v>
      </c>
      <c r="C533" s="22" t="s">
        <v>818</v>
      </c>
      <c r="D533" s="2" t="s">
        <v>818</v>
      </c>
      <c r="E533" s="5">
        <v>1647</v>
      </c>
      <c r="F533" s="2" t="b">
        <v>1</v>
      </c>
      <c r="G533" s="5">
        <v>52292</v>
      </c>
      <c r="H533" s="2" t="s">
        <v>818</v>
      </c>
      <c r="I533" s="5">
        <v>5668</v>
      </c>
      <c r="J533" s="2" t="s">
        <v>833</v>
      </c>
      <c r="K533" s="5">
        <v>11471</v>
      </c>
      <c r="L533" s="4" t="s">
        <v>833</v>
      </c>
      <c r="M533" s="5">
        <v>901089</v>
      </c>
      <c r="N533" s="2" t="s">
        <v>876</v>
      </c>
      <c r="O533" s="5">
        <v>352</v>
      </c>
      <c r="P533" s="2" t="s">
        <v>818</v>
      </c>
      <c r="Q533" s="5">
        <v>215059</v>
      </c>
      <c r="R533" s="2"/>
      <c r="T533" s="2"/>
    </row>
    <row r="534" spans="1:20" x14ac:dyDescent="0.2">
      <c r="A534" s="103"/>
      <c r="B534" s="28" t="s">
        <v>277</v>
      </c>
      <c r="C534" s="22" t="s">
        <v>818</v>
      </c>
      <c r="D534" s="2" t="s">
        <v>818</v>
      </c>
      <c r="E534" s="5">
        <v>1699</v>
      </c>
      <c r="F534" s="2" t="b">
        <v>1</v>
      </c>
      <c r="G534" s="5">
        <v>50563</v>
      </c>
      <c r="H534" s="2" t="s">
        <v>818</v>
      </c>
      <c r="I534" s="5">
        <v>5542</v>
      </c>
      <c r="J534" s="2" t="s">
        <v>833</v>
      </c>
      <c r="K534" s="5">
        <v>11890</v>
      </c>
      <c r="L534" s="4" t="s">
        <v>833</v>
      </c>
      <c r="M534" s="5">
        <v>901073</v>
      </c>
      <c r="N534" s="2" t="s">
        <v>823</v>
      </c>
      <c r="O534" s="5">
        <v>584</v>
      </c>
      <c r="P534" s="2" t="s">
        <v>818</v>
      </c>
      <c r="Q534" s="5">
        <v>3410</v>
      </c>
      <c r="R534" s="2"/>
      <c r="T534" s="2"/>
    </row>
    <row r="535" spans="1:20" x14ac:dyDescent="0.2">
      <c r="A535" s="103"/>
      <c r="B535" s="28" t="s">
        <v>276</v>
      </c>
      <c r="C535" s="22" t="s">
        <v>818</v>
      </c>
      <c r="D535" s="2" t="s">
        <v>818</v>
      </c>
      <c r="E535" s="5">
        <v>352187</v>
      </c>
      <c r="F535" s="2" t="s">
        <v>883</v>
      </c>
      <c r="G535" s="5">
        <v>130817</v>
      </c>
      <c r="H535" s="2" t="s">
        <v>818</v>
      </c>
      <c r="I535" s="5">
        <v>27784</v>
      </c>
      <c r="J535" s="2" t="b">
        <v>1</v>
      </c>
      <c r="K535" s="5">
        <v>21073</v>
      </c>
      <c r="L535" s="66" t="s">
        <v>838</v>
      </c>
      <c r="M535" s="5">
        <v>638175</v>
      </c>
      <c r="N535" s="2" t="s">
        <v>876</v>
      </c>
      <c r="O535" s="5">
        <v>607</v>
      </c>
      <c r="P535" s="2" t="s">
        <v>838</v>
      </c>
      <c r="Q535" s="5">
        <v>803571</v>
      </c>
      <c r="R535" s="2"/>
      <c r="T535" s="2"/>
    </row>
    <row r="536" spans="1:20" x14ac:dyDescent="0.2">
      <c r="A536" s="103"/>
      <c r="B536" s="28" t="s">
        <v>274</v>
      </c>
      <c r="C536" s="22" t="s">
        <v>818</v>
      </c>
      <c r="D536" s="2" t="s">
        <v>818</v>
      </c>
      <c r="E536" s="5">
        <v>1292</v>
      </c>
      <c r="F536" s="2" t="b">
        <v>1</v>
      </c>
      <c r="G536" s="5">
        <v>11308</v>
      </c>
      <c r="H536" s="2" t="s">
        <v>818</v>
      </c>
      <c r="I536" s="5">
        <v>5803</v>
      </c>
      <c r="J536" s="2" t="b">
        <v>1</v>
      </c>
      <c r="K536" s="5">
        <v>2709</v>
      </c>
      <c r="L536" s="4" t="s">
        <v>833</v>
      </c>
      <c r="M536" s="5">
        <v>6995</v>
      </c>
      <c r="N536" s="2" t="s">
        <v>876</v>
      </c>
      <c r="O536" s="5">
        <v>431</v>
      </c>
      <c r="P536" s="2" t="s">
        <v>818</v>
      </c>
      <c r="Q536" s="5">
        <v>6754</v>
      </c>
      <c r="R536" s="2"/>
      <c r="T536" s="2"/>
    </row>
    <row r="537" spans="1:20" x14ac:dyDescent="0.2">
      <c r="A537" s="103"/>
      <c r="B537" s="28" t="s">
        <v>272</v>
      </c>
      <c r="C537" s="22" t="s">
        <v>818</v>
      </c>
      <c r="D537" s="2" t="s">
        <v>818</v>
      </c>
      <c r="E537" s="5">
        <v>439</v>
      </c>
      <c r="F537" s="2" t="b">
        <v>1</v>
      </c>
      <c r="G537" s="5">
        <v>46852</v>
      </c>
      <c r="H537" s="2" t="s">
        <v>818</v>
      </c>
      <c r="I537" s="5">
        <v>25519</v>
      </c>
      <c r="J537" s="2" t="b">
        <v>1</v>
      </c>
      <c r="K537" s="5">
        <v>2789</v>
      </c>
      <c r="L537" s="4" t="s">
        <v>833</v>
      </c>
      <c r="M537" s="5">
        <v>5785</v>
      </c>
      <c r="N537" s="2" t="s">
        <v>876</v>
      </c>
      <c r="O537" s="5">
        <v>346</v>
      </c>
      <c r="P537" s="2" t="s">
        <v>818</v>
      </c>
      <c r="Q537" s="5">
        <v>2312</v>
      </c>
      <c r="R537" s="2"/>
      <c r="T537" s="2"/>
    </row>
    <row r="538" spans="1:20" x14ac:dyDescent="0.2">
      <c r="A538" s="103"/>
      <c r="B538" s="28" t="s">
        <v>271</v>
      </c>
      <c r="C538" s="22" t="s">
        <v>818</v>
      </c>
      <c r="D538" s="2" t="s">
        <v>818</v>
      </c>
      <c r="E538" s="5">
        <v>426</v>
      </c>
      <c r="F538" s="2" t="b">
        <v>1</v>
      </c>
      <c r="G538" s="5">
        <v>8283</v>
      </c>
      <c r="H538" s="2" t="s">
        <v>818</v>
      </c>
      <c r="I538" s="5">
        <v>4912</v>
      </c>
      <c r="J538" s="2" t="b">
        <v>1</v>
      </c>
      <c r="K538" s="5">
        <v>2765</v>
      </c>
      <c r="L538" s="4" t="b">
        <v>1</v>
      </c>
      <c r="M538" s="5">
        <v>5922</v>
      </c>
      <c r="N538" s="2" t="s">
        <v>876</v>
      </c>
      <c r="O538" s="5">
        <v>335</v>
      </c>
      <c r="P538" s="2" t="s">
        <v>818</v>
      </c>
      <c r="Q538" s="5">
        <v>4515</v>
      </c>
      <c r="R538" s="2"/>
      <c r="T538" s="2"/>
    </row>
    <row r="539" spans="1:20" x14ac:dyDescent="0.2">
      <c r="A539" s="103"/>
      <c r="B539" s="28" t="s">
        <v>270</v>
      </c>
      <c r="C539" s="22" t="s">
        <v>818</v>
      </c>
      <c r="D539" s="2" t="s">
        <v>818</v>
      </c>
      <c r="E539" s="5">
        <v>419</v>
      </c>
      <c r="F539" s="2" t="b">
        <v>1</v>
      </c>
      <c r="G539" s="5">
        <v>8914</v>
      </c>
      <c r="H539" s="2" t="s">
        <v>818</v>
      </c>
      <c r="I539" s="5">
        <v>6091</v>
      </c>
      <c r="J539" s="2" t="b">
        <v>1</v>
      </c>
      <c r="K539" s="5">
        <v>2753</v>
      </c>
      <c r="L539" s="4" t="b">
        <v>1</v>
      </c>
      <c r="M539" s="5">
        <v>10327</v>
      </c>
      <c r="N539" s="2" t="s">
        <v>876</v>
      </c>
      <c r="O539" s="5">
        <v>338</v>
      </c>
      <c r="P539" s="2" t="s">
        <v>818</v>
      </c>
      <c r="Q539" s="5">
        <v>6824</v>
      </c>
      <c r="R539" s="2"/>
      <c r="T539" s="2"/>
    </row>
    <row r="540" spans="1:20" x14ac:dyDescent="0.2">
      <c r="A540" s="103"/>
      <c r="B540" s="28" t="s">
        <v>268</v>
      </c>
      <c r="C540" s="22" t="s">
        <v>818</v>
      </c>
      <c r="D540" s="2" t="s">
        <v>818</v>
      </c>
      <c r="E540" s="5">
        <v>915</v>
      </c>
      <c r="F540" s="2" t="b">
        <v>1</v>
      </c>
      <c r="G540" s="5">
        <v>9054</v>
      </c>
      <c r="H540" s="2" t="s">
        <v>818</v>
      </c>
      <c r="I540" s="5">
        <v>9474</v>
      </c>
      <c r="J540" s="2" t="b">
        <v>1</v>
      </c>
      <c r="K540" s="5">
        <v>4399</v>
      </c>
      <c r="L540" s="4" t="b">
        <v>1</v>
      </c>
      <c r="M540" s="5">
        <v>8709</v>
      </c>
      <c r="N540" s="2" t="s">
        <v>876</v>
      </c>
      <c r="O540" s="5">
        <v>443</v>
      </c>
      <c r="P540" s="2" t="s">
        <v>818</v>
      </c>
      <c r="Q540" s="5">
        <v>67361</v>
      </c>
      <c r="R540" s="2"/>
      <c r="T540" s="2"/>
    </row>
    <row r="541" spans="1:20" x14ac:dyDescent="0.2">
      <c r="A541" s="103"/>
      <c r="B541" s="28" t="s">
        <v>267</v>
      </c>
      <c r="C541" s="22" t="s">
        <v>818</v>
      </c>
      <c r="D541" s="2" t="s">
        <v>818</v>
      </c>
      <c r="E541" s="5">
        <v>425</v>
      </c>
      <c r="F541" s="2" t="b">
        <v>1</v>
      </c>
      <c r="G541" s="5">
        <v>9701</v>
      </c>
      <c r="H541" s="2" t="s">
        <v>818</v>
      </c>
      <c r="I541" s="5">
        <v>6278</v>
      </c>
      <c r="J541" s="2" t="b">
        <v>1</v>
      </c>
      <c r="K541" s="5">
        <v>3207</v>
      </c>
      <c r="L541" s="4" t="b">
        <v>1</v>
      </c>
      <c r="M541" s="5">
        <v>262066</v>
      </c>
      <c r="N541" s="2" t="s">
        <v>876</v>
      </c>
      <c r="O541" s="5">
        <v>458</v>
      </c>
      <c r="P541" s="2" t="s">
        <v>818</v>
      </c>
      <c r="Q541" s="5">
        <v>37425</v>
      </c>
      <c r="R541" s="2"/>
      <c r="T541" s="2"/>
    </row>
    <row r="542" spans="1:20" x14ac:dyDescent="0.2">
      <c r="A542" s="103"/>
      <c r="B542" s="28" t="s">
        <v>383</v>
      </c>
      <c r="C542" s="22" t="s">
        <v>820</v>
      </c>
      <c r="D542" s="2" t="s">
        <v>820</v>
      </c>
      <c r="E542" s="5">
        <v>407</v>
      </c>
      <c r="F542" s="2" t="b">
        <v>0</v>
      </c>
      <c r="G542" s="5">
        <v>2618</v>
      </c>
      <c r="H542" s="75" t="s">
        <v>820</v>
      </c>
      <c r="I542" s="5">
        <v>6029</v>
      </c>
      <c r="J542" s="2" t="s">
        <v>833</v>
      </c>
      <c r="K542" s="5">
        <v>11625</v>
      </c>
      <c r="L542" s="4" t="s">
        <v>833</v>
      </c>
      <c r="M542" s="5">
        <v>5746</v>
      </c>
      <c r="N542" s="2" t="s">
        <v>877</v>
      </c>
      <c r="O542" s="5">
        <v>345</v>
      </c>
      <c r="P542" s="2" t="s">
        <v>820</v>
      </c>
      <c r="Q542" s="5">
        <v>1825</v>
      </c>
      <c r="R542" s="2"/>
      <c r="T542" s="2"/>
    </row>
    <row r="543" spans="1:20" x14ac:dyDescent="0.2">
      <c r="A543" s="103"/>
      <c r="B543" s="28" t="s">
        <v>382</v>
      </c>
      <c r="C543" s="22" t="s">
        <v>818</v>
      </c>
      <c r="D543" s="2" t="s">
        <v>818</v>
      </c>
      <c r="E543" s="5">
        <v>587</v>
      </c>
      <c r="F543" s="2" t="b">
        <v>1</v>
      </c>
      <c r="G543" s="5">
        <v>182385</v>
      </c>
      <c r="H543" s="2" t="s">
        <v>838</v>
      </c>
      <c r="I543" s="5">
        <v>25785</v>
      </c>
      <c r="J543" s="2" t="b">
        <v>1</v>
      </c>
      <c r="K543" s="5">
        <v>6330</v>
      </c>
      <c r="L543" s="4" t="b">
        <v>1</v>
      </c>
      <c r="M543" s="5">
        <v>7949</v>
      </c>
      <c r="N543" s="2" t="s">
        <v>823</v>
      </c>
      <c r="O543" s="5">
        <v>473</v>
      </c>
      <c r="P543" s="2" t="s">
        <v>818</v>
      </c>
      <c r="Q543" s="5">
        <v>3891</v>
      </c>
      <c r="R543" s="2"/>
      <c r="T543" s="2"/>
    </row>
    <row r="544" spans="1:20" x14ac:dyDescent="0.2">
      <c r="A544" s="103"/>
      <c r="B544" s="28" t="s">
        <v>381</v>
      </c>
      <c r="C544" s="22" t="s">
        <v>818</v>
      </c>
      <c r="D544" s="2" t="s">
        <v>818</v>
      </c>
      <c r="E544" s="5">
        <v>3594</v>
      </c>
      <c r="F544" s="2" t="b">
        <v>1</v>
      </c>
      <c r="G544" s="5">
        <v>123369</v>
      </c>
      <c r="H544" s="2" t="s">
        <v>818</v>
      </c>
      <c r="I544" s="5">
        <v>5924</v>
      </c>
      <c r="J544" s="2" t="b">
        <v>1</v>
      </c>
      <c r="K544" s="5">
        <v>2601</v>
      </c>
      <c r="L544" s="4" t="b">
        <v>1</v>
      </c>
      <c r="M544" s="5">
        <v>6078</v>
      </c>
      <c r="N544" s="2" t="s">
        <v>823</v>
      </c>
      <c r="O544" s="5">
        <v>673</v>
      </c>
      <c r="P544" s="2" t="s">
        <v>818</v>
      </c>
      <c r="Q544" s="5">
        <v>10647</v>
      </c>
      <c r="R544" s="2"/>
      <c r="T544" s="2"/>
    </row>
    <row r="545" spans="1:20" x14ac:dyDescent="0.2">
      <c r="A545" s="103"/>
      <c r="B545" s="28" t="s">
        <v>380</v>
      </c>
      <c r="C545" s="22" t="s">
        <v>818</v>
      </c>
      <c r="D545" s="2" t="s">
        <v>818</v>
      </c>
      <c r="E545" s="5">
        <v>669</v>
      </c>
      <c r="F545" s="2" t="b">
        <v>1</v>
      </c>
      <c r="G545" s="5">
        <v>188365</v>
      </c>
      <c r="H545" s="2" t="s">
        <v>818</v>
      </c>
      <c r="I545" s="5">
        <v>6600</v>
      </c>
      <c r="J545" s="2" t="b">
        <v>1</v>
      </c>
      <c r="K545" s="5">
        <v>3228</v>
      </c>
      <c r="L545" s="4" t="s">
        <v>833</v>
      </c>
      <c r="M545" s="5">
        <v>901607</v>
      </c>
      <c r="N545" s="2" t="s">
        <v>823</v>
      </c>
      <c r="O545" s="5">
        <v>363</v>
      </c>
      <c r="P545" s="2" t="s">
        <v>818</v>
      </c>
      <c r="Q545" s="5">
        <v>31042</v>
      </c>
      <c r="R545" s="2"/>
      <c r="T545" s="2"/>
    </row>
    <row r="546" spans="1:20" x14ac:dyDescent="0.2">
      <c r="A546" s="103"/>
      <c r="B546" s="28" t="s">
        <v>379</v>
      </c>
      <c r="C546" s="22" t="s">
        <v>818</v>
      </c>
      <c r="D546" s="2" t="s">
        <v>818</v>
      </c>
      <c r="E546" s="5">
        <v>1116</v>
      </c>
      <c r="F546" s="2" t="b">
        <v>1</v>
      </c>
      <c r="G546" s="5">
        <v>183009</v>
      </c>
      <c r="H546" s="2" t="s">
        <v>818</v>
      </c>
      <c r="I546" s="5">
        <v>6763</v>
      </c>
      <c r="J546" s="2" t="b">
        <v>1</v>
      </c>
      <c r="K546" s="5">
        <v>4008</v>
      </c>
      <c r="L546" s="4" t="s">
        <v>833</v>
      </c>
      <c r="M546" s="5">
        <v>901616</v>
      </c>
      <c r="N546" s="2" t="s">
        <v>823</v>
      </c>
      <c r="O546" s="5">
        <v>447</v>
      </c>
      <c r="P546" s="64" t="s">
        <v>837</v>
      </c>
      <c r="Q546" s="5">
        <v>910029</v>
      </c>
      <c r="R546" s="2"/>
      <c r="T546" s="2"/>
    </row>
    <row r="547" spans="1:20" x14ac:dyDescent="0.2">
      <c r="A547" s="103"/>
      <c r="B547" s="28" t="s">
        <v>378</v>
      </c>
      <c r="C547" s="22" t="s">
        <v>820</v>
      </c>
      <c r="D547" s="2" t="s">
        <v>820</v>
      </c>
      <c r="E547" s="5">
        <v>411</v>
      </c>
      <c r="F547" s="2" t="b">
        <v>0</v>
      </c>
      <c r="G547" s="5">
        <v>2672</v>
      </c>
      <c r="H547" s="75" t="s">
        <v>820</v>
      </c>
      <c r="I547" s="5">
        <v>6654</v>
      </c>
      <c r="J547" s="2" t="b">
        <v>0</v>
      </c>
      <c r="K547" s="5">
        <v>2464</v>
      </c>
      <c r="L547" s="4" t="s">
        <v>833</v>
      </c>
      <c r="M547" s="5">
        <v>5350</v>
      </c>
      <c r="N547" s="2" t="s">
        <v>877</v>
      </c>
      <c r="O547" s="5">
        <v>260</v>
      </c>
      <c r="P547" s="2" t="s">
        <v>820</v>
      </c>
      <c r="Q547" s="5">
        <v>2031</v>
      </c>
      <c r="R547" s="2"/>
      <c r="T547" s="2"/>
    </row>
    <row r="548" spans="1:20" x14ac:dyDescent="0.2">
      <c r="A548" s="103"/>
      <c r="B548" s="28" t="s">
        <v>377</v>
      </c>
      <c r="C548" s="22" t="s">
        <v>820</v>
      </c>
      <c r="D548" s="2" t="s">
        <v>820</v>
      </c>
      <c r="E548" s="5">
        <v>512</v>
      </c>
      <c r="F548" s="2" t="b">
        <v>0</v>
      </c>
      <c r="G548" s="5">
        <v>2019</v>
      </c>
      <c r="H548" s="75" t="s">
        <v>820</v>
      </c>
      <c r="I548" s="5">
        <v>12531</v>
      </c>
      <c r="J548" s="2" t="b">
        <v>0</v>
      </c>
      <c r="K548" s="5">
        <v>2241</v>
      </c>
      <c r="L548" s="4" t="s">
        <v>833</v>
      </c>
      <c r="M548" s="5">
        <v>901073</v>
      </c>
      <c r="N548" s="2" t="s">
        <v>823</v>
      </c>
      <c r="O548" s="5">
        <v>310</v>
      </c>
      <c r="P548" s="2" t="s">
        <v>820</v>
      </c>
      <c r="Q548" s="5">
        <v>29518</v>
      </c>
      <c r="R548" s="2"/>
      <c r="T548" s="2"/>
    </row>
    <row r="549" spans="1:20" x14ac:dyDescent="0.2">
      <c r="A549" s="103"/>
      <c r="B549" s="28" t="s">
        <v>376</v>
      </c>
      <c r="C549" s="22" t="s">
        <v>820</v>
      </c>
      <c r="D549" s="2" t="s">
        <v>820</v>
      </c>
      <c r="E549" s="5">
        <v>505</v>
      </c>
      <c r="F549" s="2" t="b">
        <v>0</v>
      </c>
      <c r="G549" s="5">
        <v>6576</v>
      </c>
      <c r="H549" s="76" t="s">
        <v>820</v>
      </c>
      <c r="I549" s="5">
        <v>910045</v>
      </c>
      <c r="J549" s="2" t="b">
        <v>0</v>
      </c>
      <c r="K549" s="5">
        <v>9818</v>
      </c>
      <c r="L549" s="4" t="s">
        <v>833</v>
      </c>
      <c r="M549" s="5">
        <v>902013</v>
      </c>
      <c r="N549" s="2" t="s">
        <v>823</v>
      </c>
      <c r="O549" s="5">
        <v>373</v>
      </c>
      <c r="P549" s="2" t="s">
        <v>820</v>
      </c>
      <c r="Q549" s="5">
        <v>4524</v>
      </c>
      <c r="R549" s="2"/>
      <c r="T549" s="2"/>
    </row>
    <row r="550" spans="1:20" x14ac:dyDescent="0.2">
      <c r="A550" s="103"/>
      <c r="B550" s="28" t="s">
        <v>375</v>
      </c>
      <c r="C550" s="22" t="s">
        <v>820</v>
      </c>
      <c r="D550" s="2" t="s">
        <v>820</v>
      </c>
      <c r="E550" s="5">
        <v>506</v>
      </c>
      <c r="F550" s="2" t="b">
        <v>0</v>
      </c>
      <c r="G550" s="5">
        <v>6453</v>
      </c>
      <c r="H550" s="76" t="s">
        <v>820</v>
      </c>
      <c r="I550" s="5">
        <v>910045</v>
      </c>
      <c r="J550" s="2" t="b">
        <v>0</v>
      </c>
      <c r="K550" s="5">
        <v>7588</v>
      </c>
      <c r="L550" s="4" t="s">
        <v>833</v>
      </c>
      <c r="M550" s="5">
        <v>8030</v>
      </c>
      <c r="N550" s="2" t="s">
        <v>823</v>
      </c>
      <c r="O550" s="5">
        <v>363</v>
      </c>
      <c r="P550" s="2" t="s">
        <v>820</v>
      </c>
      <c r="Q550" s="5">
        <v>3775</v>
      </c>
      <c r="R550" s="2"/>
      <c r="T550" s="2"/>
    </row>
    <row r="551" spans="1:20" x14ac:dyDescent="0.2">
      <c r="A551" s="103"/>
      <c r="B551" s="28" t="s">
        <v>374</v>
      </c>
      <c r="C551" s="22" t="s">
        <v>820</v>
      </c>
      <c r="D551" s="2" t="s">
        <v>820</v>
      </c>
      <c r="E551" s="5">
        <v>394</v>
      </c>
      <c r="F551" s="2" t="b">
        <v>0</v>
      </c>
      <c r="G551" s="5">
        <v>2024</v>
      </c>
      <c r="H551" s="75" t="s">
        <v>820</v>
      </c>
      <c r="I551" s="5">
        <v>6875</v>
      </c>
      <c r="J551" s="2" t="b">
        <v>0</v>
      </c>
      <c r="K551" s="5">
        <v>2212</v>
      </c>
      <c r="L551" s="4" t="s">
        <v>833</v>
      </c>
      <c r="M551" s="5">
        <v>901043</v>
      </c>
      <c r="N551" s="2" t="s">
        <v>823</v>
      </c>
      <c r="O551" s="5">
        <v>305</v>
      </c>
      <c r="P551" s="2" t="s">
        <v>820</v>
      </c>
      <c r="Q551" s="5">
        <v>1719</v>
      </c>
      <c r="R551" s="2"/>
      <c r="T551" s="2"/>
    </row>
    <row r="552" spans="1:20" x14ac:dyDescent="0.2">
      <c r="A552" s="103"/>
      <c r="B552" s="28" t="s">
        <v>373</v>
      </c>
      <c r="C552" s="22" t="s">
        <v>818</v>
      </c>
      <c r="D552" s="2" t="s">
        <v>818</v>
      </c>
      <c r="E552" s="5">
        <v>555</v>
      </c>
      <c r="F552" s="2" t="b">
        <v>1</v>
      </c>
      <c r="G552" s="5">
        <v>183529</v>
      </c>
      <c r="H552" s="2" t="s">
        <v>818</v>
      </c>
      <c r="I552" s="5">
        <v>6715</v>
      </c>
      <c r="J552" s="2" t="b">
        <v>1</v>
      </c>
      <c r="K552" s="5">
        <v>4244</v>
      </c>
      <c r="L552" s="4" t="b">
        <v>1</v>
      </c>
      <c r="M552" s="5">
        <v>8242</v>
      </c>
      <c r="N552" s="2" t="s">
        <v>876</v>
      </c>
      <c r="O552" s="5">
        <v>299</v>
      </c>
      <c r="P552" s="2" t="s">
        <v>818</v>
      </c>
      <c r="Q552" s="5">
        <v>879718</v>
      </c>
      <c r="R552" s="2"/>
      <c r="T552" s="2"/>
    </row>
    <row r="553" spans="1:20" x14ac:dyDescent="0.2">
      <c r="A553" s="103"/>
      <c r="B553" s="28" t="s">
        <v>372</v>
      </c>
      <c r="C553" s="22" t="s">
        <v>818</v>
      </c>
      <c r="D553" s="2" t="s">
        <v>818</v>
      </c>
      <c r="E553" s="5">
        <v>759</v>
      </c>
      <c r="F553" s="2" t="s">
        <v>883</v>
      </c>
      <c r="G553" s="5">
        <v>301880</v>
      </c>
      <c r="H553" s="2" t="s">
        <v>818</v>
      </c>
      <c r="I553" s="5">
        <v>7111</v>
      </c>
      <c r="J553" s="64" t="s">
        <v>833</v>
      </c>
      <c r="K553" s="5">
        <v>900286</v>
      </c>
      <c r="L553" s="4" t="s">
        <v>833</v>
      </c>
      <c r="M553" s="5">
        <v>906138</v>
      </c>
      <c r="N553" s="2" t="s">
        <v>876</v>
      </c>
      <c r="O553" s="5">
        <v>312</v>
      </c>
      <c r="P553" s="64" t="s">
        <v>837</v>
      </c>
      <c r="Q553" s="5">
        <v>910090</v>
      </c>
      <c r="R553" s="2"/>
      <c r="T553" s="2"/>
    </row>
    <row r="554" spans="1:20" x14ac:dyDescent="0.2">
      <c r="A554" s="103"/>
      <c r="B554" s="28" t="s">
        <v>371</v>
      </c>
      <c r="C554" s="22" t="s">
        <v>818</v>
      </c>
      <c r="D554" s="2" t="s">
        <v>818</v>
      </c>
      <c r="E554" s="5">
        <v>6556</v>
      </c>
      <c r="F554" s="2" t="b">
        <v>1</v>
      </c>
      <c r="G554" s="5">
        <v>207006</v>
      </c>
      <c r="H554" s="2" t="s">
        <v>838</v>
      </c>
      <c r="I554" s="5">
        <v>31865</v>
      </c>
      <c r="J554" s="2" t="b">
        <v>1</v>
      </c>
      <c r="K554" s="5">
        <v>5974</v>
      </c>
      <c r="L554" s="4" t="b">
        <v>1</v>
      </c>
      <c r="M554" s="5">
        <v>9451</v>
      </c>
      <c r="N554" s="2" t="s">
        <v>823</v>
      </c>
      <c r="O554" s="5">
        <v>484</v>
      </c>
      <c r="P554" s="64" t="s">
        <v>837</v>
      </c>
      <c r="Q554" s="5">
        <v>910074</v>
      </c>
      <c r="R554" s="2"/>
      <c r="T554" s="2"/>
    </row>
    <row r="555" spans="1:20" x14ac:dyDescent="0.2">
      <c r="A555" s="103"/>
      <c r="B555" s="28" t="s">
        <v>370</v>
      </c>
      <c r="C555" s="22" t="s">
        <v>820</v>
      </c>
      <c r="D555" s="2" t="s">
        <v>820</v>
      </c>
      <c r="E555" s="5">
        <v>436</v>
      </c>
      <c r="F555" s="2" t="b">
        <v>0</v>
      </c>
      <c r="G555" s="5">
        <v>2007</v>
      </c>
      <c r="H555" s="75" t="s">
        <v>820</v>
      </c>
      <c r="I555" s="5">
        <v>10522</v>
      </c>
      <c r="J555" s="2" t="b">
        <v>0</v>
      </c>
      <c r="K555" s="5">
        <v>3930</v>
      </c>
      <c r="L555" s="4" t="s">
        <v>833</v>
      </c>
      <c r="M555" s="5">
        <v>901077</v>
      </c>
      <c r="N555" s="2" t="s">
        <v>823</v>
      </c>
      <c r="O555" s="5">
        <v>276</v>
      </c>
      <c r="P555" s="2" t="s">
        <v>820</v>
      </c>
      <c r="Q555" s="5">
        <v>3807</v>
      </c>
      <c r="R555" s="2"/>
      <c r="T555" s="2"/>
    </row>
    <row r="556" spans="1:20" x14ac:dyDescent="0.2">
      <c r="A556" s="103"/>
      <c r="B556" s="28" t="s">
        <v>369</v>
      </c>
      <c r="C556" s="22" t="s">
        <v>818</v>
      </c>
      <c r="D556" s="2" t="s">
        <v>818</v>
      </c>
      <c r="E556" s="5">
        <v>435</v>
      </c>
      <c r="F556" s="2" t="b">
        <v>1</v>
      </c>
      <c r="G556" s="5">
        <v>6342</v>
      </c>
      <c r="H556" s="2" t="s">
        <v>818</v>
      </c>
      <c r="I556" s="5">
        <v>2541</v>
      </c>
      <c r="J556" s="2" t="b">
        <v>1</v>
      </c>
      <c r="K556" s="5">
        <v>2727</v>
      </c>
      <c r="L556" s="4" t="b">
        <v>1</v>
      </c>
      <c r="M556" s="5">
        <v>6084</v>
      </c>
      <c r="N556" s="2" t="s">
        <v>876</v>
      </c>
      <c r="O556" s="5">
        <v>302</v>
      </c>
      <c r="P556" s="2" t="s">
        <v>818</v>
      </c>
      <c r="Q556" s="5">
        <v>2022</v>
      </c>
      <c r="R556" s="2"/>
      <c r="T556" s="2"/>
    </row>
    <row r="557" spans="1:20" x14ac:dyDescent="0.2">
      <c r="A557" s="103"/>
      <c r="B557" s="28" t="s">
        <v>368</v>
      </c>
      <c r="C557" s="22" t="s">
        <v>818</v>
      </c>
      <c r="D557" s="2" t="s">
        <v>818</v>
      </c>
      <c r="E557" s="5">
        <v>418</v>
      </c>
      <c r="F557" s="2" t="b">
        <v>1</v>
      </c>
      <c r="G557" s="5">
        <v>182303</v>
      </c>
      <c r="H557" s="2" t="s">
        <v>818</v>
      </c>
      <c r="I557" s="5">
        <v>3994</v>
      </c>
      <c r="J557" s="2" t="b">
        <v>1</v>
      </c>
      <c r="K557" s="5">
        <v>2744</v>
      </c>
      <c r="L557" s="4" t="b">
        <v>1</v>
      </c>
      <c r="M557" s="5">
        <v>5990</v>
      </c>
      <c r="N557" s="2" t="s">
        <v>876</v>
      </c>
      <c r="O557" s="5">
        <v>296</v>
      </c>
      <c r="P557" s="2" t="s">
        <v>818</v>
      </c>
      <c r="Q557" s="5">
        <v>1730</v>
      </c>
      <c r="R557" s="2"/>
      <c r="T557" s="2"/>
    </row>
    <row r="558" spans="1:20" x14ac:dyDescent="0.2">
      <c r="A558" s="103"/>
      <c r="B558" s="28" t="s">
        <v>367</v>
      </c>
      <c r="C558" s="22" t="s">
        <v>818</v>
      </c>
      <c r="D558" s="2" t="s">
        <v>818</v>
      </c>
      <c r="E558" s="5">
        <v>491</v>
      </c>
      <c r="F558" s="2" t="b">
        <v>1</v>
      </c>
      <c r="G558" s="5">
        <v>1480</v>
      </c>
      <c r="H558" s="2" t="s">
        <v>818</v>
      </c>
      <c r="I558" s="5">
        <v>2454</v>
      </c>
      <c r="J558" s="2" t="b">
        <v>1</v>
      </c>
      <c r="K558" s="5">
        <v>2155</v>
      </c>
      <c r="L558" s="4" t="b">
        <v>1</v>
      </c>
      <c r="M558" s="5">
        <v>4146</v>
      </c>
      <c r="N558" s="2" t="s">
        <v>823</v>
      </c>
      <c r="O558" s="5">
        <v>269</v>
      </c>
      <c r="P558" s="2" t="s">
        <v>818</v>
      </c>
      <c r="Q558" s="5">
        <v>1789</v>
      </c>
      <c r="R558" s="2"/>
      <c r="T558" s="2"/>
    </row>
    <row r="559" spans="1:20" x14ac:dyDescent="0.2">
      <c r="A559" s="103"/>
      <c r="B559" s="28" t="s">
        <v>366</v>
      </c>
      <c r="C559" s="22" t="s">
        <v>820</v>
      </c>
      <c r="D559" s="2" t="s">
        <v>820</v>
      </c>
      <c r="E559" s="5">
        <v>453</v>
      </c>
      <c r="F559" s="2" t="s">
        <v>883</v>
      </c>
      <c r="G559" s="5">
        <v>301796</v>
      </c>
      <c r="H559" s="75" t="s">
        <v>820</v>
      </c>
      <c r="I559" s="5">
        <v>5431</v>
      </c>
      <c r="J559" s="2" t="b">
        <v>0</v>
      </c>
      <c r="K559" s="5">
        <v>2419</v>
      </c>
      <c r="L559" s="4" t="s">
        <v>833</v>
      </c>
      <c r="M559" s="5">
        <v>901074</v>
      </c>
      <c r="N559" s="2" t="s">
        <v>823</v>
      </c>
      <c r="O559" s="5">
        <v>398</v>
      </c>
      <c r="P559" s="2" t="s">
        <v>820</v>
      </c>
      <c r="Q559" s="5">
        <v>2768</v>
      </c>
      <c r="R559" s="2"/>
      <c r="T559" s="2"/>
    </row>
    <row r="560" spans="1:20" x14ac:dyDescent="0.2">
      <c r="A560" s="103"/>
      <c r="B560" s="28" t="s">
        <v>365</v>
      </c>
      <c r="C560" s="22" t="s">
        <v>820</v>
      </c>
      <c r="D560" s="2" t="s">
        <v>820</v>
      </c>
      <c r="E560" s="5">
        <v>421</v>
      </c>
      <c r="F560" s="2" t="s">
        <v>883</v>
      </c>
      <c r="G560" s="5">
        <v>301834</v>
      </c>
      <c r="H560" s="75" t="s">
        <v>820</v>
      </c>
      <c r="I560" s="5">
        <v>7343</v>
      </c>
      <c r="J560" s="2" t="b">
        <v>0</v>
      </c>
      <c r="K560" s="5">
        <v>3233</v>
      </c>
      <c r="L560" s="4" t="s">
        <v>833</v>
      </c>
      <c r="M560" s="5">
        <v>901056</v>
      </c>
      <c r="N560" s="2" t="s">
        <v>823</v>
      </c>
      <c r="O560" s="5">
        <v>397</v>
      </c>
      <c r="P560" s="2" t="s">
        <v>820</v>
      </c>
      <c r="Q560" s="5">
        <v>2989</v>
      </c>
      <c r="R560" s="2"/>
      <c r="T560" s="2"/>
    </row>
    <row r="561" spans="1:33" x14ac:dyDescent="0.2">
      <c r="A561" s="103"/>
      <c r="B561" s="28" t="s">
        <v>364</v>
      </c>
      <c r="C561" s="22" t="s">
        <v>820</v>
      </c>
      <c r="D561" s="2" t="s">
        <v>820</v>
      </c>
      <c r="E561" s="5">
        <v>463</v>
      </c>
      <c r="F561" s="2" t="s">
        <v>883</v>
      </c>
      <c r="G561" s="5">
        <v>301914</v>
      </c>
      <c r="H561" s="75" t="s">
        <v>820</v>
      </c>
      <c r="I561" s="5">
        <v>8738</v>
      </c>
      <c r="J561" s="2" t="b">
        <v>0</v>
      </c>
      <c r="K561" s="5">
        <v>2876</v>
      </c>
      <c r="L561" s="4" t="s">
        <v>833</v>
      </c>
      <c r="M561" s="5">
        <v>901061</v>
      </c>
      <c r="N561" s="2" t="s">
        <v>823</v>
      </c>
      <c r="O561" s="5">
        <v>420</v>
      </c>
      <c r="P561" s="2" t="s">
        <v>820</v>
      </c>
      <c r="Q561" s="5">
        <v>3106</v>
      </c>
      <c r="R561" s="2"/>
      <c r="T561" s="2"/>
    </row>
    <row r="562" spans="1:33" x14ac:dyDescent="0.2">
      <c r="A562" s="103"/>
      <c r="B562" s="28" t="s">
        <v>363</v>
      </c>
      <c r="C562" s="22" t="s">
        <v>820</v>
      </c>
      <c r="D562" s="2" t="s">
        <v>820</v>
      </c>
      <c r="E562" s="5">
        <v>394</v>
      </c>
      <c r="F562" s="2" t="s">
        <v>883</v>
      </c>
      <c r="G562" s="5">
        <v>301922</v>
      </c>
      <c r="H562" s="75" t="s">
        <v>820</v>
      </c>
      <c r="I562" s="5">
        <v>9248</v>
      </c>
      <c r="J562" s="2" t="b">
        <v>0</v>
      </c>
      <c r="K562" s="5">
        <v>3054</v>
      </c>
      <c r="L562" s="4" t="s">
        <v>833</v>
      </c>
      <c r="M562" s="5">
        <v>901129</v>
      </c>
      <c r="N562" s="2" t="s">
        <v>823</v>
      </c>
      <c r="O562" s="5">
        <v>414</v>
      </c>
      <c r="P562" s="2" t="s">
        <v>820</v>
      </c>
      <c r="Q562" s="5">
        <v>2820</v>
      </c>
      <c r="R562" s="2"/>
      <c r="T562" s="2"/>
    </row>
    <row r="563" spans="1:33" x14ac:dyDescent="0.2">
      <c r="A563" s="103"/>
      <c r="B563" s="28" t="s">
        <v>362</v>
      </c>
      <c r="C563" s="22" t="s">
        <v>820</v>
      </c>
      <c r="D563" s="2" t="s">
        <v>820</v>
      </c>
      <c r="E563" s="5">
        <v>392</v>
      </c>
      <c r="F563" s="2" t="b">
        <v>0</v>
      </c>
      <c r="G563" s="5">
        <v>2071</v>
      </c>
      <c r="H563" s="75" t="s">
        <v>820</v>
      </c>
      <c r="I563" s="5">
        <v>6407</v>
      </c>
      <c r="J563" s="2" t="b">
        <v>0</v>
      </c>
      <c r="K563" s="5">
        <v>2205</v>
      </c>
      <c r="L563" s="4" t="s">
        <v>833</v>
      </c>
      <c r="M563" s="5">
        <v>901062</v>
      </c>
      <c r="N563" s="2" t="s">
        <v>823</v>
      </c>
      <c r="O563" s="5">
        <v>299</v>
      </c>
      <c r="P563" s="2" t="s">
        <v>820</v>
      </c>
      <c r="Q563" s="5">
        <v>2870</v>
      </c>
      <c r="R563" s="2"/>
      <c r="T563" s="2"/>
    </row>
    <row r="564" spans="1:33" x14ac:dyDescent="0.2">
      <c r="A564" s="103"/>
      <c r="B564" s="28" t="s">
        <v>361</v>
      </c>
      <c r="C564" s="22" t="s">
        <v>820</v>
      </c>
      <c r="D564" s="2" t="s">
        <v>820</v>
      </c>
      <c r="E564" s="5">
        <v>401</v>
      </c>
      <c r="F564" s="2" t="b">
        <v>0</v>
      </c>
      <c r="G564" s="5">
        <v>2044</v>
      </c>
      <c r="H564" s="75" t="s">
        <v>820</v>
      </c>
      <c r="I564" s="5">
        <v>7498</v>
      </c>
      <c r="J564" s="2" t="b">
        <v>0</v>
      </c>
      <c r="K564" s="5">
        <v>2213</v>
      </c>
      <c r="L564" s="4" t="s">
        <v>833</v>
      </c>
      <c r="M564" s="5">
        <v>901034</v>
      </c>
      <c r="N564" s="2" t="s">
        <v>823</v>
      </c>
      <c r="O564" s="5">
        <v>276</v>
      </c>
      <c r="P564" s="2" t="s">
        <v>820</v>
      </c>
      <c r="Q564" s="5">
        <v>2345</v>
      </c>
      <c r="R564" s="2"/>
      <c r="T564" s="2"/>
    </row>
    <row r="565" spans="1:33" x14ac:dyDescent="0.2">
      <c r="A565" s="103"/>
      <c r="B565" s="28" t="s">
        <v>359</v>
      </c>
      <c r="C565" s="22" t="s">
        <v>820</v>
      </c>
      <c r="D565" s="2" t="s">
        <v>820</v>
      </c>
      <c r="E565" s="5">
        <v>451</v>
      </c>
      <c r="F565" s="2" t="s">
        <v>883</v>
      </c>
      <c r="G565" s="5">
        <v>301770</v>
      </c>
      <c r="H565" s="75" t="s">
        <v>820</v>
      </c>
      <c r="I565" s="5">
        <v>4868</v>
      </c>
      <c r="J565" s="2" t="b">
        <v>0</v>
      </c>
      <c r="K565" s="5">
        <v>2440</v>
      </c>
      <c r="L565" s="4" t="s">
        <v>833</v>
      </c>
      <c r="M565" s="5">
        <v>5005</v>
      </c>
      <c r="N565" s="2" t="s">
        <v>877</v>
      </c>
      <c r="O565" s="5">
        <v>253</v>
      </c>
      <c r="P565" s="2" t="s">
        <v>820</v>
      </c>
      <c r="Q565" s="5">
        <v>2858</v>
      </c>
      <c r="R565"/>
      <c r="AF565" s="4"/>
      <c r="AG565" s="2"/>
    </row>
    <row r="566" spans="1:33" s="8" customFormat="1" ht="21" thickBot="1" x14ac:dyDescent="0.25">
      <c r="A566" s="104"/>
      <c r="B566" s="30" t="s">
        <v>360</v>
      </c>
      <c r="C566" s="23" t="s">
        <v>820</v>
      </c>
      <c r="D566" s="9" t="s">
        <v>820</v>
      </c>
      <c r="E566" s="7">
        <v>434</v>
      </c>
      <c r="F566" s="6" t="s">
        <v>883</v>
      </c>
      <c r="G566" s="7">
        <v>16787</v>
      </c>
      <c r="H566" s="77" t="s">
        <v>820</v>
      </c>
      <c r="I566" s="7">
        <v>4112</v>
      </c>
      <c r="J566" s="9" t="b">
        <v>0</v>
      </c>
      <c r="K566" s="7">
        <v>2190</v>
      </c>
      <c r="L566" s="6" t="s">
        <v>833</v>
      </c>
      <c r="M566" s="7">
        <v>4763</v>
      </c>
      <c r="N566" s="9" t="s">
        <v>877</v>
      </c>
      <c r="O566" s="7">
        <v>271</v>
      </c>
      <c r="P566" s="9" t="s">
        <v>820</v>
      </c>
      <c r="Q566" s="7">
        <v>2181</v>
      </c>
      <c r="S566" s="9"/>
      <c r="T566" s="9"/>
    </row>
    <row r="567" spans="1:33" x14ac:dyDescent="0.2">
      <c r="A567" s="102" t="s">
        <v>634</v>
      </c>
      <c r="B567" s="48" t="s">
        <v>735</v>
      </c>
      <c r="C567" s="22" t="s">
        <v>818</v>
      </c>
      <c r="D567" s="2" t="s">
        <v>819</v>
      </c>
      <c r="E567" s="5">
        <v>1756</v>
      </c>
      <c r="F567" s="2" t="b">
        <v>1</v>
      </c>
      <c r="G567" s="5">
        <v>20018</v>
      </c>
      <c r="H567" s="2" t="s">
        <v>819</v>
      </c>
      <c r="I567" s="5">
        <v>6137</v>
      </c>
      <c r="J567" s="2" t="b">
        <v>1</v>
      </c>
      <c r="K567" s="5">
        <v>5225</v>
      </c>
      <c r="L567" s="4" t="s">
        <v>833</v>
      </c>
      <c r="M567" s="5">
        <v>10960</v>
      </c>
      <c r="N567" s="2" t="s">
        <v>876</v>
      </c>
      <c r="O567" s="5">
        <v>889</v>
      </c>
      <c r="P567" s="2" t="s">
        <v>838</v>
      </c>
      <c r="Q567" s="5">
        <v>1033</v>
      </c>
      <c r="R567" s="2"/>
      <c r="S567" s="85"/>
      <c r="T567" s="2" t="s">
        <v>815</v>
      </c>
    </row>
    <row r="568" spans="1:33" x14ac:dyDescent="0.2">
      <c r="A568" s="103"/>
      <c r="B568" s="44" t="s">
        <v>734</v>
      </c>
      <c r="C568" s="22" t="s">
        <v>818</v>
      </c>
      <c r="D568" s="75" t="s">
        <v>818</v>
      </c>
      <c r="E568" s="5">
        <v>1347</v>
      </c>
      <c r="F568" s="2" t="b">
        <v>1</v>
      </c>
      <c r="G568" s="5">
        <v>4985</v>
      </c>
      <c r="H568" s="2" t="s">
        <v>818</v>
      </c>
      <c r="I568" s="5">
        <v>7391</v>
      </c>
      <c r="J568" s="2" t="b">
        <v>1</v>
      </c>
      <c r="K568" s="5">
        <v>6204</v>
      </c>
      <c r="L568" s="4" t="s">
        <v>838</v>
      </c>
      <c r="M568" s="5">
        <v>3795</v>
      </c>
      <c r="N568" s="2" t="s">
        <v>876</v>
      </c>
      <c r="O568" s="5">
        <v>300</v>
      </c>
      <c r="P568" s="2" t="s">
        <v>818</v>
      </c>
      <c r="Q568" s="5">
        <v>1307</v>
      </c>
      <c r="R568" s="2" t="s">
        <v>812</v>
      </c>
    </row>
    <row r="569" spans="1:33" x14ac:dyDescent="0.2">
      <c r="A569" s="103"/>
      <c r="B569" s="44" t="s">
        <v>733</v>
      </c>
      <c r="C569" s="22" t="s">
        <v>818</v>
      </c>
      <c r="D569" s="2" t="s">
        <v>819</v>
      </c>
      <c r="E569" s="5">
        <v>1319</v>
      </c>
      <c r="F569" s="2" t="b">
        <v>1</v>
      </c>
      <c r="G569" s="5">
        <v>1506</v>
      </c>
      <c r="H569" s="2" t="s">
        <v>818</v>
      </c>
      <c r="I569" s="5">
        <v>3755</v>
      </c>
      <c r="J569" s="2" t="b">
        <v>1</v>
      </c>
      <c r="K569" s="5">
        <v>2811</v>
      </c>
      <c r="L569" s="4" t="s">
        <v>838</v>
      </c>
      <c r="M569" s="5">
        <v>3724</v>
      </c>
      <c r="N569" s="2" t="s">
        <v>876</v>
      </c>
      <c r="O569" s="5">
        <v>275</v>
      </c>
      <c r="P569" s="2" t="s">
        <v>818</v>
      </c>
      <c r="Q569" s="5">
        <v>1757</v>
      </c>
      <c r="R569" s="2" t="s">
        <v>101</v>
      </c>
      <c r="T569" s="2"/>
    </row>
    <row r="570" spans="1:33" x14ac:dyDescent="0.2">
      <c r="A570" s="103"/>
      <c r="B570" s="44" t="s">
        <v>732</v>
      </c>
      <c r="C570" s="22" t="s">
        <v>818</v>
      </c>
      <c r="D570" s="75" t="s">
        <v>818</v>
      </c>
      <c r="E570" s="5">
        <v>1316</v>
      </c>
      <c r="F570" s="2" t="b">
        <v>1</v>
      </c>
      <c r="G570" s="5">
        <v>1632</v>
      </c>
      <c r="H570" s="2" t="s">
        <v>819</v>
      </c>
      <c r="I570" s="5">
        <v>8469</v>
      </c>
      <c r="J570" s="2" t="b">
        <v>1</v>
      </c>
      <c r="K570" s="5">
        <v>4672</v>
      </c>
      <c r="L570" s="4" t="s">
        <v>838</v>
      </c>
      <c r="M570" s="5">
        <v>3755</v>
      </c>
      <c r="N570" s="2" t="s">
        <v>876</v>
      </c>
      <c r="O570" s="5">
        <v>287</v>
      </c>
      <c r="P570" s="2" t="s">
        <v>818</v>
      </c>
      <c r="Q570" s="5">
        <v>1307</v>
      </c>
      <c r="R570" s="2" t="s">
        <v>812</v>
      </c>
    </row>
    <row r="571" spans="1:33" x14ac:dyDescent="0.2">
      <c r="A571" s="103"/>
      <c r="B571" s="28" t="s">
        <v>731</v>
      </c>
      <c r="C571" s="22" t="s">
        <v>820</v>
      </c>
      <c r="D571" s="2" t="s">
        <v>837</v>
      </c>
      <c r="E571" s="5">
        <v>904493</v>
      </c>
      <c r="F571" s="2" t="b">
        <v>0</v>
      </c>
      <c r="G571" s="5">
        <v>2190</v>
      </c>
      <c r="H571" s="2" t="s">
        <v>819</v>
      </c>
      <c r="I571" s="5">
        <v>12742</v>
      </c>
      <c r="J571" s="2" t="b">
        <v>0</v>
      </c>
      <c r="K571" s="5">
        <v>6729</v>
      </c>
      <c r="L571" s="4" t="s">
        <v>833</v>
      </c>
      <c r="M571" s="5">
        <v>11507</v>
      </c>
      <c r="N571" s="2" t="s">
        <v>823</v>
      </c>
      <c r="O571" s="5">
        <v>1899</v>
      </c>
      <c r="P571" s="2" t="s">
        <v>838</v>
      </c>
      <c r="Q571" s="5">
        <v>1157</v>
      </c>
      <c r="R571" s="2"/>
      <c r="T571" s="2"/>
    </row>
    <row r="572" spans="1:33" x14ac:dyDescent="0.2">
      <c r="A572" s="103"/>
      <c r="B572" s="48" t="s">
        <v>730</v>
      </c>
      <c r="C572" s="81" t="s">
        <v>820</v>
      </c>
      <c r="D572" s="2" t="s">
        <v>819</v>
      </c>
      <c r="E572" s="5">
        <v>7110</v>
      </c>
      <c r="F572" s="2" t="b">
        <v>0</v>
      </c>
      <c r="G572" s="5">
        <v>5483</v>
      </c>
      <c r="H572" s="2" t="s">
        <v>819</v>
      </c>
      <c r="I572" s="5">
        <v>3520</v>
      </c>
      <c r="J572" s="2" t="s">
        <v>833</v>
      </c>
      <c r="K572" s="5">
        <v>112232</v>
      </c>
      <c r="L572" s="4" t="s">
        <v>838</v>
      </c>
      <c r="M572" s="5">
        <v>4983</v>
      </c>
      <c r="N572" s="2" t="s">
        <v>823</v>
      </c>
      <c r="O572" s="5">
        <v>583</v>
      </c>
      <c r="P572" s="2" t="s">
        <v>838</v>
      </c>
      <c r="Q572" s="5">
        <v>1143</v>
      </c>
      <c r="R572" s="2"/>
      <c r="T572" s="2" t="s">
        <v>815</v>
      </c>
    </row>
    <row r="573" spans="1:33" x14ac:dyDescent="0.2">
      <c r="A573" s="103"/>
      <c r="B573" s="28" t="s">
        <v>729</v>
      </c>
      <c r="C573" s="22" t="s">
        <v>818</v>
      </c>
      <c r="D573" s="2" t="s">
        <v>818</v>
      </c>
      <c r="E573" s="5">
        <v>1577</v>
      </c>
      <c r="F573" s="2" t="b">
        <v>0</v>
      </c>
      <c r="G573" s="5">
        <v>4724</v>
      </c>
      <c r="H573" s="64" t="s">
        <v>837</v>
      </c>
      <c r="I573" s="5">
        <v>900172</v>
      </c>
      <c r="J573" s="2" t="b">
        <v>1</v>
      </c>
      <c r="K573" s="5">
        <v>5056</v>
      </c>
      <c r="L573" s="4" t="b">
        <v>1</v>
      </c>
      <c r="M573" s="5">
        <v>7990</v>
      </c>
      <c r="N573" s="2" t="s">
        <v>877</v>
      </c>
      <c r="O573" s="5">
        <v>666</v>
      </c>
      <c r="P573" s="2" t="s">
        <v>818</v>
      </c>
      <c r="Q573" s="5">
        <v>1475</v>
      </c>
      <c r="R573" s="2"/>
      <c r="T573" s="2"/>
    </row>
    <row r="574" spans="1:33" x14ac:dyDescent="0.2">
      <c r="A574" s="103"/>
      <c r="B574" s="48" t="s">
        <v>728</v>
      </c>
      <c r="C574" s="61" t="s">
        <v>818</v>
      </c>
      <c r="D574" s="2" t="s">
        <v>819</v>
      </c>
      <c r="E574" s="5">
        <v>1054</v>
      </c>
      <c r="F574" s="2" t="b">
        <v>1</v>
      </c>
      <c r="G574" s="5">
        <v>8100</v>
      </c>
      <c r="H574" s="2" t="s">
        <v>819</v>
      </c>
      <c r="I574" s="5">
        <v>4010</v>
      </c>
      <c r="J574" s="2" t="b">
        <v>1</v>
      </c>
      <c r="K574" s="5">
        <v>14963</v>
      </c>
      <c r="L574" s="4" t="b">
        <v>1</v>
      </c>
      <c r="M574" s="5">
        <v>6730</v>
      </c>
      <c r="N574" s="2" t="s">
        <v>822</v>
      </c>
      <c r="O574" s="5">
        <v>282</v>
      </c>
      <c r="P574" s="2" t="s">
        <v>818</v>
      </c>
      <c r="Q574" s="5">
        <v>1345</v>
      </c>
      <c r="R574" s="2"/>
      <c r="T574" s="2" t="s">
        <v>815</v>
      </c>
    </row>
    <row r="575" spans="1:33" x14ac:dyDescent="0.2">
      <c r="A575" s="103"/>
      <c r="B575" s="48" t="s">
        <v>727</v>
      </c>
      <c r="C575" s="81" t="s">
        <v>818</v>
      </c>
      <c r="D575" s="2" t="s">
        <v>819</v>
      </c>
      <c r="E575" s="5">
        <v>946</v>
      </c>
      <c r="F575" s="2" t="b">
        <v>1</v>
      </c>
      <c r="G575" s="5">
        <v>183048</v>
      </c>
      <c r="H575" s="2" t="s">
        <v>819</v>
      </c>
      <c r="I575" s="5">
        <v>4369</v>
      </c>
      <c r="J575" s="64" t="s">
        <v>833</v>
      </c>
      <c r="K575" s="5">
        <v>900382</v>
      </c>
      <c r="L575" s="4" t="s">
        <v>833</v>
      </c>
      <c r="M575" s="5">
        <v>96669</v>
      </c>
      <c r="N575" s="2" t="s">
        <v>822</v>
      </c>
      <c r="O575" s="5">
        <v>546</v>
      </c>
      <c r="P575" s="2" t="s">
        <v>838</v>
      </c>
      <c r="Q575" s="5">
        <v>1210</v>
      </c>
      <c r="R575" s="2"/>
      <c r="T575" s="2" t="s">
        <v>815</v>
      </c>
    </row>
    <row r="576" spans="1:33" x14ac:dyDescent="0.2">
      <c r="A576" s="103"/>
      <c r="B576" s="48" t="s">
        <v>726</v>
      </c>
      <c r="C576" s="61" t="s">
        <v>818</v>
      </c>
      <c r="D576" s="2" t="s">
        <v>819</v>
      </c>
      <c r="E576" s="5">
        <v>1153</v>
      </c>
      <c r="F576" s="2" t="b">
        <v>1</v>
      </c>
      <c r="G576" s="5">
        <v>8141</v>
      </c>
      <c r="H576" s="2" t="s">
        <v>819</v>
      </c>
      <c r="I576" s="5">
        <v>3869</v>
      </c>
      <c r="J576" s="2" t="b">
        <v>1</v>
      </c>
      <c r="K576" s="5">
        <v>15482</v>
      </c>
      <c r="L576" s="4" t="b">
        <v>1</v>
      </c>
      <c r="M576" s="5">
        <v>6883</v>
      </c>
      <c r="N576" s="2" t="s">
        <v>822</v>
      </c>
      <c r="O576" s="5">
        <v>278</v>
      </c>
      <c r="P576" s="2" t="s">
        <v>818</v>
      </c>
      <c r="Q576" s="5">
        <v>1665</v>
      </c>
      <c r="R576" s="2"/>
      <c r="T576" s="2" t="s">
        <v>815</v>
      </c>
    </row>
    <row r="577" spans="1:20" x14ac:dyDescent="0.2">
      <c r="A577" s="103"/>
      <c r="B577" s="48" t="s">
        <v>725</v>
      </c>
      <c r="C577" s="61" t="s">
        <v>818</v>
      </c>
      <c r="D577" s="2" t="s">
        <v>819</v>
      </c>
      <c r="E577" s="5">
        <v>968</v>
      </c>
      <c r="F577" s="2" t="b">
        <v>1</v>
      </c>
      <c r="G577" s="5">
        <v>7988</v>
      </c>
      <c r="H577" s="2" t="s">
        <v>819</v>
      </c>
      <c r="I577" s="5">
        <v>3585</v>
      </c>
      <c r="J577" s="2" t="b">
        <v>1</v>
      </c>
      <c r="K577" s="5">
        <v>3933</v>
      </c>
      <c r="L577" s="4" t="b">
        <v>1</v>
      </c>
      <c r="M577" s="5">
        <v>6590</v>
      </c>
      <c r="N577" s="2" t="s">
        <v>822</v>
      </c>
      <c r="O577" s="5">
        <v>277</v>
      </c>
      <c r="P577" s="2" t="s">
        <v>818</v>
      </c>
      <c r="Q577" s="5">
        <v>1541</v>
      </c>
      <c r="R577" s="2"/>
      <c r="T577" s="2" t="s">
        <v>815</v>
      </c>
    </row>
    <row r="578" spans="1:20" x14ac:dyDescent="0.2">
      <c r="A578" s="103"/>
      <c r="B578" s="48" t="s">
        <v>724</v>
      </c>
      <c r="C578" s="61" t="s">
        <v>818</v>
      </c>
      <c r="D578" s="2" t="s">
        <v>819</v>
      </c>
      <c r="E578" s="5">
        <v>961</v>
      </c>
      <c r="F578" s="2" t="b">
        <v>0</v>
      </c>
      <c r="G578" s="5">
        <v>2304</v>
      </c>
      <c r="H578" s="2" t="s">
        <v>819</v>
      </c>
      <c r="I578" s="5">
        <v>3422</v>
      </c>
      <c r="J578" s="2" t="b">
        <v>1</v>
      </c>
      <c r="K578" s="5">
        <v>3467</v>
      </c>
      <c r="L578" s="4" t="b">
        <v>1</v>
      </c>
      <c r="M578" s="5">
        <v>7199</v>
      </c>
      <c r="N578" s="2" t="s">
        <v>822</v>
      </c>
      <c r="O578" s="5">
        <v>1122</v>
      </c>
      <c r="P578" s="2" t="s">
        <v>818</v>
      </c>
      <c r="Q578" s="5">
        <v>1730</v>
      </c>
      <c r="R578" s="2"/>
      <c r="T578" s="2" t="s">
        <v>815</v>
      </c>
    </row>
    <row r="579" spans="1:20" x14ac:dyDescent="0.2">
      <c r="A579" s="103"/>
      <c r="B579" s="48" t="s">
        <v>723</v>
      </c>
      <c r="C579" s="61" t="s">
        <v>818</v>
      </c>
      <c r="D579" s="2" t="s">
        <v>819</v>
      </c>
      <c r="E579" s="5">
        <v>1095</v>
      </c>
      <c r="F579" s="2" t="b">
        <v>1</v>
      </c>
      <c r="G579" s="5">
        <v>8052</v>
      </c>
      <c r="H579" s="2" t="s">
        <v>819</v>
      </c>
      <c r="I579" s="5">
        <v>3584</v>
      </c>
      <c r="J579" s="2" t="b">
        <v>1</v>
      </c>
      <c r="K579" s="5">
        <v>14888</v>
      </c>
      <c r="L579" s="4" t="b">
        <v>1</v>
      </c>
      <c r="M579" s="5">
        <v>6923</v>
      </c>
      <c r="N579" s="2" t="s">
        <v>822</v>
      </c>
      <c r="O579" s="5">
        <v>287</v>
      </c>
      <c r="P579" s="2" t="s">
        <v>818</v>
      </c>
      <c r="Q579" s="5">
        <v>1463</v>
      </c>
      <c r="R579" s="2"/>
      <c r="T579" s="2" t="s">
        <v>815</v>
      </c>
    </row>
    <row r="580" spans="1:20" x14ac:dyDescent="0.2">
      <c r="A580" s="103"/>
      <c r="B580" s="48" t="s">
        <v>722</v>
      </c>
      <c r="C580" s="61" t="s">
        <v>818</v>
      </c>
      <c r="D580" s="2" t="s">
        <v>819</v>
      </c>
      <c r="E580" s="5">
        <v>1026</v>
      </c>
      <c r="F580" s="2" t="b">
        <v>1</v>
      </c>
      <c r="G580" s="5">
        <v>7073</v>
      </c>
      <c r="H580" s="2" t="s">
        <v>819</v>
      </c>
      <c r="I580" s="5">
        <v>3733</v>
      </c>
      <c r="J580" s="2" t="b">
        <v>1</v>
      </c>
      <c r="K580" s="5">
        <v>6056</v>
      </c>
      <c r="L580" s="4" t="b">
        <v>1</v>
      </c>
      <c r="M580" s="5">
        <v>6976</v>
      </c>
      <c r="N580" s="2" t="s">
        <v>822</v>
      </c>
      <c r="O580" s="5">
        <v>287</v>
      </c>
      <c r="P580" s="2" t="s">
        <v>818</v>
      </c>
      <c r="Q580" s="5">
        <v>1453</v>
      </c>
      <c r="R580" s="2"/>
      <c r="T580" s="2" t="s">
        <v>815</v>
      </c>
    </row>
    <row r="581" spans="1:20" x14ac:dyDescent="0.2">
      <c r="A581" s="103"/>
      <c r="B581" s="28" t="s">
        <v>721</v>
      </c>
      <c r="C581" s="22" t="s">
        <v>818</v>
      </c>
      <c r="D581" s="2" t="s">
        <v>818</v>
      </c>
      <c r="E581" s="5">
        <v>57480</v>
      </c>
      <c r="F581" s="2" t="s">
        <v>883</v>
      </c>
      <c r="G581" s="5">
        <v>301931</v>
      </c>
      <c r="H581" s="2" t="s">
        <v>818</v>
      </c>
      <c r="I581" s="5">
        <v>42545</v>
      </c>
      <c r="J581" s="64" t="s">
        <v>833</v>
      </c>
      <c r="K581" s="5">
        <v>900292</v>
      </c>
      <c r="L581" s="4" t="s">
        <v>838</v>
      </c>
      <c r="M581" s="5">
        <v>5867</v>
      </c>
      <c r="N581" s="2" t="s">
        <v>821</v>
      </c>
      <c r="O581" s="5">
        <v>900845</v>
      </c>
      <c r="P581" s="2" t="s">
        <v>838</v>
      </c>
      <c r="Q581" s="5">
        <v>1322</v>
      </c>
      <c r="R581" s="2"/>
      <c r="S581" s="85"/>
      <c r="T581" s="2"/>
    </row>
    <row r="582" spans="1:20" x14ac:dyDescent="0.2">
      <c r="A582" s="103"/>
      <c r="B582" s="28" t="s">
        <v>720</v>
      </c>
      <c r="C582" s="22" t="s">
        <v>818</v>
      </c>
      <c r="D582" s="2" t="s">
        <v>818</v>
      </c>
      <c r="E582" s="5">
        <v>5362</v>
      </c>
      <c r="F582" s="2" t="b">
        <v>1</v>
      </c>
      <c r="G582" s="5">
        <v>183787</v>
      </c>
      <c r="H582" s="64" t="s">
        <v>837</v>
      </c>
      <c r="I582" s="5">
        <v>900151</v>
      </c>
      <c r="J582" s="2" t="b">
        <v>1</v>
      </c>
      <c r="K582" s="5">
        <v>3450</v>
      </c>
      <c r="L582" s="4" t="b">
        <v>1</v>
      </c>
      <c r="M582" s="5">
        <v>22120</v>
      </c>
      <c r="N582" s="2" t="s">
        <v>877</v>
      </c>
      <c r="O582" s="5">
        <v>764</v>
      </c>
      <c r="P582" s="2" t="s">
        <v>838</v>
      </c>
      <c r="Q582" s="5">
        <v>1460</v>
      </c>
      <c r="R582" s="2"/>
      <c r="T582" s="2"/>
    </row>
    <row r="583" spans="1:20" x14ac:dyDescent="0.2">
      <c r="A583" s="103"/>
      <c r="B583" s="48" t="s">
        <v>719</v>
      </c>
      <c r="C583" s="22" t="s">
        <v>819</v>
      </c>
      <c r="D583" s="2" t="s">
        <v>819</v>
      </c>
      <c r="E583" s="5">
        <v>1953</v>
      </c>
      <c r="F583" s="2" t="s">
        <v>883</v>
      </c>
      <c r="G583" s="5">
        <v>122345</v>
      </c>
      <c r="H583" s="2" t="s">
        <v>819</v>
      </c>
      <c r="I583" s="5">
        <v>4690</v>
      </c>
      <c r="J583" s="2" t="s">
        <v>833</v>
      </c>
      <c r="K583" s="5">
        <v>19768</v>
      </c>
      <c r="L583" s="4" t="s">
        <v>833</v>
      </c>
      <c r="M583" s="5">
        <v>8764</v>
      </c>
      <c r="N583" s="2" t="s">
        <v>823</v>
      </c>
      <c r="O583" s="5">
        <v>26193</v>
      </c>
      <c r="P583" s="2" t="s">
        <v>838</v>
      </c>
      <c r="Q583" s="5">
        <v>1052</v>
      </c>
      <c r="R583" s="2"/>
      <c r="S583" s="85"/>
      <c r="T583" s="2" t="s">
        <v>815</v>
      </c>
    </row>
    <row r="584" spans="1:20" x14ac:dyDescent="0.2">
      <c r="A584" s="103"/>
      <c r="B584" s="48" t="s">
        <v>718</v>
      </c>
      <c r="C584" s="61" t="s">
        <v>818</v>
      </c>
      <c r="D584" s="2" t="s">
        <v>819</v>
      </c>
      <c r="E584" s="5">
        <v>5656</v>
      </c>
      <c r="F584" s="2" t="s">
        <v>883</v>
      </c>
      <c r="G584" s="5">
        <v>121983</v>
      </c>
      <c r="H584" s="2" t="s">
        <v>819</v>
      </c>
      <c r="I584" s="5">
        <v>2733</v>
      </c>
      <c r="J584" s="2" t="s">
        <v>833</v>
      </c>
      <c r="K584" s="5">
        <v>424166</v>
      </c>
      <c r="L584" s="4" t="s">
        <v>838</v>
      </c>
      <c r="M584" s="5">
        <v>6623</v>
      </c>
      <c r="N584" s="64" t="s">
        <v>822</v>
      </c>
      <c r="O584" s="5">
        <v>330192</v>
      </c>
      <c r="P584" s="2" t="s">
        <v>818</v>
      </c>
      <c r="Q584" s="5">
        <v>1411</v>
      </c>
      <c r="R584" s="2"/>
      <c r="T584" s="2" t="s">
        <v>815</v>
      </c>
    </row>
    <row r="585" spans="1:20" x14ac:dyDescent="0.2">
      <c r="A585" s="103"/>
      <c r="B585" s="48" t="s">
        <v>717</v>
      </c>
      <c r="C585" s="61" t="s">
        <v>818</v>
      </c>
      <c r="D585" s="2" t="s">
        <v>819</v>
      </c>
      <c r="E585" s="5">
        <v>3080</v>
      </c>
      <c r="F585" s="2" t="b">
        <v>1</v>
      </c>
      <c r="G585" s="5">
        <v>12191</v>
      </c>
      <c r="H585" s="64" t="s">
        <v>837</v>
      </c>
      <c r="I585" s="5">
        <v>900168</v>
      </c>
      <c r="J585" s="64" t="s">
        <v>833</v>
      </c>
      <c r="K585" s="5">
        <v>902347</v>
      </c>
      <c r="L585" s="4" t="b">
        <v>1</v>
      </c>
      <c r="M585" s="5">
        <v>36648</v>
      </c>
      <c r="N585" s="2" t="s">
        <v>823</v>
      </c>
      <c r="O585" s="5">
        <v>169390</v>
      </c>
      <c r="P585" s="2" t="s">
        <v>838</v>
      </c>
      <c r="Q585" s="5">
        <v>1607</v>
      </c>
      <c r="R585" s="2"/>
      <c r="T585" s="2" t="s">
        <v>815</v>
      </c>
    </row>
    <row r="586" spans="1:20" x14ac:dyDescent="0.2">
      <c r="A586" s="103"/>
      <c r="B586" s="48" t="s">
        <v>716</v>
      </c>
      <c r="C586" s="22" t="s">
        <v>818</v>
      </c>
      <c r="D586" s="2" t="s">
        <v>819</v>
      </c>
      <c r="E586" s="5">
        <v>1161</v>
      </c>
      <c r="F586" s="2" t="b">
        <v>1</v>
      </c>
      <c r="G586" s="5">
        <v>15136</v>
      </c>
      <c r="H586" s="2" t="s">
        <v>818</v>
      </c>
      <c r="I586" s="5">
        <v>49197</v>
      </c>
      <c r="J586" s="2" t="b">
        <v>1</v>
      </c>
      <c r="K586" s="5">
        <v>4330</v>
      </c>
      <c r="L586" s="4" t="s">
        <v>838</v>
      </c>
      <c r="M586" s="5">
        <v>35186</v>
      </c>
      <c r="N586" s="2" t="s">
        <v>876</v>
      </c>
      <c r="O586" s="5">
        <v>2640</v>
      </c>
      <c r="P586" s="2" t="s">
        <v>838</v>
      </c>
      <c r="Q586" s="5">
        <v>45881</v>
      </c>
      <c r="R586" s="2"/>
      <c r="T586" s="2" t="s">
        <v>815</v>
      </c>
    </row>
    <row r="587" spans="1:20" x14ac:dyDescent="0.2">
      <c r="A587" s="103"/>
      <c r="B587" s="44" t="s">
        <v>715</v>
      </c>
      <c r="C587" s="22" t="s">
        <v>818</v>
      </c>
      <c r="D587" s="2" t="s">
        <v>819</v>
      </c>
      <c r="E587" s="5">
        <v>1357</v>
      </c>
      <c r="F587" s="2" t="b">
        <v>1</v>
      </c>
      <c r="G587" s="5">
        <v>2295</v>
      </c>
      <c r="H587" s="2" t="s">
        <v>818</v>
      </c>
      <c r="I587" s="5">
        <v>7925</v>
      </c>
      <c r="J587" s="2" t="b">
        <v>1</v>
      </c>
      <c r="K587" s="5">
        <v>4274</v>
      </c>
      <c r="L587" s="4" t="s">
        <v>838</v>
      </c>
      <c r="M587" s="5">
        <v>3790</v>
      </c>
      <c r="N587" s="2" t="s">
        <v>822</v>
      </c>
      <c r="O587" s="5">
        <v>781</v>
      </c>
      <c r="P587" s="2" t="s">
        <v>818</v>
      </c>
      <c r="Q587" s="5">
        <v>1870</v>
      </c>
      <c r="R587" s="2" t="s">
        <v>101</v>
      </c>
      <c r="T587" s="2"/>
    </row>
    <row r="588" spans="1:20" x14ac:dyDescent="0.2">
      <c r="A588" s="103"/>
      <c r="B588" s="44" t="s">
        <v>714</v>
      </c>
      <c r="C588" s="22" t="s">
        <v>818</v>
      </c>
      <c r="D588" s="2" t="s">
        <v>819</v>
      </c>
      <c r="E588" s="5">
        <v>1357</v>
      </c>
      <c r="F588" s="2" t="b">
        <v>1</v>
      </c>
      <c r="G588" s="5">
        <v>1524</v>
      </c>
      <c r="H588" s="2" t="s">
        <v>818</v>
      </c>
      <c r="I588" s="5">
        <v>3836</v>
      </c>
      <c r="J588" s="2" t="b">
        <v>1</v>
      </c>
      <c r="K588" s="5">
        <v>3257</v>
      </c>
      <c r="L588" s="4" t="s">
        <v>838</v>
      </c>
      <c r="M588" s="5">
        <v>3800</v>
      </c>
      <c r="N588" s="2" t="s">
        <v>822</v>
      </c>
      <c r="O588" s="5">
        <v>782</v>
      </c>
      <c r="P588" s="2" t="s">
        <v>818</v>
      </c>
      <c r="Q588" s="5">
        <v>1441</v>
      </c>
      <c r="R588" s="2" t="s">
        <v>101</v>
      </c>
      <c r="T588" s="2"/>
    </row>
    <row r="589" spans="1:20" x14ac:dyDescent="0.2">
      <c r="A589" s="103"/>
      <c r="B589" s="44" t="s">
        <v>713</v>
      </c>
      <c r="C589" s="22" t="s">
        <v>818</v>
      </c>
      <c r="D589" s="2" t="s">
        <v>819</v>
      </c>
      <c r="E589" s="5">
        <v>1482</v>
      </c>
      <c r="F589" s="2" t="b">
        <v>1</v>
      </c>
      <c r="G589" s="5">
        <v>2089</v>
      </c>
      <c r="H589" s="2" t="s">
        <v>818</v>
      </c>
      <c r="I589" s="5">
        <v>10492</v>
      </c>
      <c r="J589" s="2" t="b">
        <v>1</v>
      </c>
      <c r="K589" s="5">
        <v>9132</v>
      </c>
      <c r="L589" s="4" t="s">
        <v>838</v>
      </c>
      <c r="M589" s="5">
        <v>3803</v>
      </c>
      <c r="N589" s="2" t="s">
        <v>876</v>
      </c>
      <c r="O589" s="5">
        <v>290</v>
      </c>
      <c r="P589" s="2" t="s">
        <v>818</v>
      </c>
      <c r="Q589" s="5">
        <v>1618</v>
      </c>
      <c r="R589" s="2" t="s">
        <v>101</v>
      </c>
      <c r="T589" s="2"/>
    </row>
    <row r="590" spans="1:20" x14ac:dyDescent="0.2">
      <c r="A590" s="103"/>
      <c r="B590" s="44" t="s">
        <v>712</v>
      </c>
      <c r="C590" s="22" t="s">
        <v>818</v>
      </c>
      <c r="D590" s="2" t="s">
        <v>819</v>
      </c>
      <c r="E590" s="5">
        <v>1301</v>
      </c>
      <c r="F590" s="2" t="b">
        <v>1</v>
      </c>
      <c r="G590" s="5">
        <v>4151</v>
      </c>
      <c r="H590" s="2" t="s">
        <v>818</v>
      </c>
      <c r="I590" s="5">
        <v>11084</v>
      </c>
      <c r="J590" s="64" t="s">
        <v>833</v>
      </c>
      <c r="K590" s="5">
        <v>902678</v>
      </c>
      <c r="L590" s="4" t="s">
        <v>838</v>
      </c>
      <c r="M590" s="5">
        <v>3759</v>
      </c>
      <c r="N590" s="2" t="s">
        <v>876</v>
      </c>
      <c r="O590" s="5">
        <v>286</v>
      </c>
      <c r="P590" s="2" t="s">
        <v>818</v>
      </c>
      <c r="Q590" s="5">
        <v>1669</v>
      </c>
      <c r="R590" s="2" t="s">
        <v>101</v>
      </c>
      <c r="T590" s="2"/>
    </row>
    <row r="591" spans="1:20" x14ac:dyDescent="0.2">
      <c r="A591" s="103"/>
      <c r="B591" s="28" t="s">
        <v>711</v>
      </c>
      <c r="C591" s="22" t="s">
        <v>818</v>
      </c>
      <c r="D591" s="2" t="s">
        <v>818</v>
      </c>
      <c r="E591" s="5">
        <v>1295</v>
      </c>
      <c r="F591" s="2" t="b">
        <v>0</v>
      </c>
      <c r="G591" s="5">
        <v>2843</v>
      </c>
      <c r="H591" s="64" t="s">
        <v>837</v>
      </c>
      <c r="I591" s="5">
        <v>900178</v>
      </c>
      <c r="J591" s="2" t="b">
        <v>1</v>
      </c>
      <c r="K591" s="5">
        <v>5816</v>
      </c>
      <c r="L591" s="4" t="b">
        <v>1</v>
      </c>
      <c r="M591" s="5">
        <v>7222</v>
      </c>
      <c r="N591" s="2" t="s">
        <v>877</v>
      </c>
      <c r="O591" s="5">
        <v>529</v>
      </c>
      <c r="P591" s="2" t="s">
        <v>838</v>
      </c>
      <c r="Q591" s="5">
        <v>1184</v>
      </c>
      <c r="R591" s="2"/>
      <c r="T591" s="2"/>
    </row>
    <row r="592" spans="1:20" x14ac:dyDescent="0.2">
      <c r="A592" s="103"/>
      <c r="B592" s="44" t="s">
        <v>710</v>
      </c>
      <c r="C592" s="22" t="s">
        <v>818</v>
      </c>
      <c r="D592" s="75" t="s">
        <v>818</v>
      </c>
      <c r="E592" s="5">
        <v>1343</v>
      </c>
      <c r="F592" s="2" t="b">
        <v>1</v>
      </c>
      <c r="G592" s="5">
        <v>11196</v>
      </c>
      <c r="H592" s="2" t="s">
        <v>818</v>
      </c>
      <c r="I592" s="5">
        <v>8838</v>
      </c>
      <c r="J592" s="2" t="b">
        <v>1</v>
      </c>
      <c r="K592" s="5">
        <v>5621</v>
      </c>
      <c r="L592" s="4" t="s">
        <v>838</v>
      </c>
      <c r="M592" s="5">
        <v>3875</v>
      </c>
      <c r="N592" s="2" t="s">
        <v>876</v>
      </c>
      <c r="O592" s="5">
        <v>304</v>
      </c>
      <c r="P592" s="2" t="s">
        <v>818</v>
      </c>
      <c r="Q592" s="5">
        <v>1538</v>
      </c>
      <c r="R592" s="2" t="s">
        <v>812</v>
      </c>
    </row>
    <row r="593" spans="1:20" x14ac:dyDescent="0.2">
      <c r="A593" s="103"/>
      <c r="B593" s="44" t="s">
        <v>709</v>
      </c>
      <c r="C593" s="22" t="s">
        <v>818</v>
      </c>
      <c r="D593" s="75" t="s">
        <v>818</v>
      </c>
      <c r="E593" s="5">
        <v>1318</v>
      </c>
      <c r="F593" s="2" t="b">
        <v>1</v>
      </c>
      <c r="G593" s="5">
        <v>2667</v>
      </c>
      <c r="H593" s="2" t="s">
        <v>818</v>
      </c>
      <c r="I593" s="5">
        <v>6019</v>
      </c>
      <c r="J593" s="2" t="b">
        <v>1</v>
      </c>
      <c r="K593" s="5">
        <v>3496</v>
      </c>
      <c r="L593" s="4" t="s">
        <v>838</v>
      </c>
      <c r="M593" s="5">
        <v>3729</v>
      </c>
      <c r="N593" s="2" t="s">
        <v>876</v>
      </c>
      <c r="O593" s="5">
        <v>341</v>
      </c>
      <c r="P593" s="2" t="s">
        <v>818</v>
      </c>
      <c r="Q593" s="5">
        <v>1298</v>
      </c>
      <c r="R593" s="2" t="s">
        <v>813</v>
      </c>
    </row>
    <row r="594" spans="1:20" x14ac:dyDescent="0.2">
      <c r="A594" s="103"/>
      <c r="B594" s="44" t="s">
        <v>708</v>
      </c>
      <c r="C594" s="22" t="s">
        <v>820</v>
      </c>
      <c r="D594" s="2" t="s">
        <v>819</v>
      </c>
      <c r="E594" s="5">
        <v>1339</v>
      </c>
      <c r="F594" s="2" t="s">
        <v>883</v>
      </c>
      <c r="G594" s="5">
        <v>121566</v>
      </c>
      <c r="H594" s="2" t="s">
        <v>838</v>
      </c>
      <c r="I594" s="5">
        <v>18162</v>
      </c>
      <c r="J594" s="2" t="b">
        <v>0</v>
      </c>
      <c r="K594" s="5">
        <v>2939</v>
      </c>
      <c r="L594" s="4" t="s">
        <v>838</v>
      </c>
      <c r="M594" s="5">
        <v>3808</v>
      </c>
      <c r="N594" s="2" t="s">
        <v>822</v>
      </c>
      <c r="O594" s="5">
        <v>930</v>
      </c>
      <c r="P594" s="2" t="s">
        <v>818</v>
      </c>
      <c r="Q594" s="5">
        <v>1511</v>
      </c>
      <c r="R594" s="2" t="s">
        <v>101</v>
      </c>
      <c r="T594" s="2"/>
    </row>
    <row r="595" spans="1:20" x14ac:dyDescent="0.2">
      <c r="A595" s="103"/>
      <c r="B595" s="28" t="s">
        <v>707</v>
      </c>
      <c r="C595" s="22" t="s">
        <v>818</v>
      </c>
      <c r="D595" s="2" t="s">
        <v>818</v>
      </c>
      <c r="E595" s="5">
        <v>490</v>
      </c>
      <c r="F595" s="2" t="b">
        <v>1</v>
      </c>
      <c r="G595" s="5">
        <v>1835</v>
      </c>
      <c r="H595" s="64" t="s">
        <v>837</v>
      </c>
      <c r="I595" s="5">
        <v>900155</v>
      </c>
      <c r="J595" s="2" t="b">
        <v>1</v>
      </c>
      <c r="K595" s="5">
        <v>2910</v>
      </c>
      <c r="L595" s="4" t="b">
        <v>1</v>
      </c>
      <c r="M595" s="5">
        <v>4825</v>
      </c>
      <c r="N595" s="2" t="s">
        <v>877</v>
      </c>
      <c r="O595" s="5">
        <v>540</v>
      </c>
      <c r="P595" s="2" t="s">
        <v>818</v>
      </c>
      <c r="Q595" s="5">
        <v>1186</v>
      </c>
      <c r="R595" s="2"/>
      <c r="T595" s="2"/>
    </row>
    <row r="596" spans="1:20" x14ac:dyDescent="0.2">
      <c r="A596" s="103"/>
      <c r="B596" s="48" t="s">
        <v>706</v>
      </c>
      <c r="C596" s="22" t="s">
        <v>819</v>
      </c>
      <c r="D596" s="2" t="s">
        <v>819</v>
      </c>
      <c r="E596" s="5">
        <v>1726</v>
      </c>
      <c r="F596" s="2" t="s">
        <v>883</v>
      </c>
      <c r="G596" s="5">
        <v>121903</v>
      </c>
      <c r="H596" s="2" t="s">
        <v>819</v>
      </c>
      <c r="I596" s="5">
        <v>5564</v>
      </c>
      <c r="J596" s="2" t="s">
        <v>833</v>
      </c>
      <c r="K596" s="5">
        <v>22121</v>
      </c>
      <c r="L596" s="4" t="s">
        <v>833</v>
      </c>
      <c r="M596" s="5">
        <v>6486</v>
      </c>
      <c r="N596" s="2" t="s">
        <v>823</v>
      </c>
      <c r="O596" s="5">
        <v>428171</v>
      </c>
      <c r="P596" s="2" t="s">
        <v>838</v>
      </c>
      <c r="Q596" s="5">
        <v>1719</v>
      </c>
      <c r="R596" s="2"/>
      <c r="T596" s="2" t="s">
        <v>815</v>
      </c>
    </row>
    <row r="597" spans="1:20" x14ac:dyDescent="0.2">
      <c r="A597" s="103"/>
      <c r="B597" s="48" t="s">
        <v>705</v>
      </c>
      <c r="C597" s="81" t="s">
        <v>820</v>
      </c>
      <c r="D597" s="2" t="s">
        <v>819</v>
      </c>
      <c r="E597" s="5">
        <v>1987</v>
      </c>
      <c r="F597" s="2" t="b">
        <v>1</v>
      </c>
      <c r="G597" s="5">
        <v>7725</v>
      </c>
      <c r="H597" s="2" t="s">
        <v>819</v>
      </c>
      <c r="I597" s="5">
        <v>6585</v>
      </c>
      <c r="J597" s="2" t="s">
        <v>833</v>
      </c>
      <c r="K597" s="5">
        <v>103630</v>
      </c>
      <c r="L597" s="4" t="s">
        <v>833</v>
      </c>
      <c r="M597" s="5">
        <v>6577</v>
      </c>
      <c r="N597" s="2" t="s">
        <v>823</v>
      </c>
      <c r="O597" s="5">
        <v>4522</v>
      </c>
      <c r="P597" s="2" t="s">
        <v>838</v>
      </c>
      <c r="Q597" s="5">
        <v>872</v>
      </c>
      <c r="R597" s="2"/>
      <c r="T597" s="2" t="s">
        <v>815</v>
      </c>
    </row>
    <row r="598" spans="1:20" x14ac:dyDescent="0.2">
      <c r="A598" s="103"/>
      <c r="B598" s="48" t="s">
        <v>704</v>
      </c>
      <c r="C598" s="22" t="s">
        <v>819</v>
      </c>
      <c r="D598" s="2" t="s">
        <v>819</v>
      </c>
      <c r="E598" s="5">
        <v>1889</v>
      </c>
      <c r="F598" s="2" t="s">
        <v>884</v>
      </c>
      <c r="G598" s="5">
        <v>122406</v>
      </c>
      <c r="H598" s="2" t="s">
        <v>819</v>
      </c>
      <c r="I598" s="5">
        <v>4260</v>
      </c>
      <c r="J598" s="2" t="s">
        <v>838</v>
      </c>
      <c r="K598" s="5">
        <v>49220</v>
      </c>
      <c r="L598" s="4" t="s">
        <v>833</v>
      </c>
      <c r="M598" s="5">
        <v>641585</v>
      </c>
      <c r="N598" s="2" t="s">
        <v>823</v>
      </c>
      <c r="O598" s="5">
        <v>619</v>
      </c>
      <c r="P598" s="2" t="s">
        <v>838</v>
      </c>
      <c r="Q598" s="5">
        <v>1254</v>
      </c>
      <c r="R598" s="2"/>
      <c r="T598" s="2" t="s">
        <v>815</v>
      </c>
    </row>
    <row r="599" spans="1:20" x14ac:dyDescent="0.2">
      <c r="A599" s="103"/>
      <c r="B599" s="44" t="s">
        <v>703</v>
      </c>
      <c r="C599" s="22" t="s">
        <v>818</v>
      </c>
      <c r="D599" s="2" t="s">
        <v>819</v>
      </c>
      <c r="E599" s="5">
        <v>1341</v>
      </c>
      <c r="F599" s="2" t="s">
        <v>883</v>
      </c>
      <c r="G599" s="5">
        <v>122160</v>
      </c>
      <c r="H599" s="2" t="s">
        <v>819</v>
      </c>
      <c r="I599" s="5">
        <v>8845</v>
      </c>
      <c r="J599" s="64" t="s">
        <v>833</v>
      </c>
      <c r="K599" s="5">
        <v>900300</v>
      </c>
      <c r="L599" s="4" t="s">
        <v>838</v>
      </c>
      <c r="M599" s="5">
        <v>3879</v>
      </c>
      <c r="N599" s="2" t="s">
        <v>876</v>
      </c>
      <c r="O599" s="5">
        <v>288</v>
      </c>
      <c r="P599" s="2" t="s">
        <v>818</v>
      </c>
      <c r="Q599" s="5">
        <v>1357</v>
      </c>
      <c r="R599" s="2" t="s">
        <v>101</v>
      </c>
      <c r="T599" s="2"/>
    </row>
    <row r="600" spans="1:20" x14ac:dyDescent="0.2">
      <c r="A600" s="103"/>
      <c r="B600" s="28" t="s">
        <v>702</v>
      </c>
      <c r="C600" s="22" t="s">
        <v>820</v>
      </c>
      <c r="D600" s="2" t="s">
        <v>837</v>
      </c>
      <c r="E600" s="5">
        <v>900943</v>
      </c>
      <c r="F600" s="2" t="b">
        <v>0</v>
      </c>
      <c r="G600" s="5">
        <v>6297</v>
      </c>
      <c r="H600" s="64" t="s">
        <v>837</v>
      </c>
      <c r="I600" s="5">
        <v>900176</v>
      </c>
      <c r="J600" s="2" t="b">
        <v>0</v>
      </c>
      <c r="K600" s="5">
        <v>6381</v>
      </c>
      <c r="L600" s="4" t="s">
        <v>833</v>
      </c>
      <c r="M600" s="5">
        <v>54979</v>
      </c>
      <c r="N600" s="2" t="s">
        <v>822</v>
      </c>
      <c r="O600" s="5">
        <v>271</v>
      </c>
      <c r="P600" s="2" t="s">
        <v>838</v>
      </c>
      <c r="Q600" s="5">
        <v>1356</v>
      </c>
      <c r="R600" s="2"/>
      <c r="T600" s="2"/>
    </row>
    <row r="601" spans="1:20" x14ac:dyDescent="0.2">
      <c r="A601" s="103"/>
      <c r="B601" s="48" t="s">
        <v>701</v>
      </c>
      <c r="C601" s="22" t="s">
        <v>819</v>
      </c>
      <c r="D601" s="2" t="s">
        <v>819</v>
      </c>
      <c r="E601" s="5">
        <v>4049</v>
      </c>
      <c r="F601" s="2" t="s">
        <v>883</v>
      </c>
      <c r="G601" s="5">
        <v>122125</v>
      </c>
      <c r="H601" s="2" t="s">
        <v>819</v>
      </c>
      <c r="I601" s="5">
        <v>5187</v>
      </c>
      <c r="J601" s="2" t="s">
        <v>833</v>
      </c>
      <c r="K601" s="5">
        <v>27898</v>
      </c>
      <c r="L601" s="4" t="s">
        <v>833</v>
      </c>
      <c r="M601" s="5">
        <v>160629</v>
      </c>
      <c r="N601" s="2" t="s">
        <v>823</v>
      </c>
      <c r="O601" s="5">
        <v>906</v>
      </c>
      <c r="P601" s="2" t="s">
        <v>838</v>
      </c>
      <c r="Q601" s="5">
        <v>1401</v>
      </c>
      <c r="R601" s="2"/>
      <c r="T601" s="2" t="s">
        <v>815</v>
      </c>
    </row>
    <row r="602" spans="1:20" x14ac:dyDescent="0.2">
      <c r="A602" s="103"/>
      <c r="B602" s="48" t="s">
        <v>700</v>
      </c>
      <c r="C602" s="22" t="s">
        <v>820</v>
      </c>
      <c r="D602" s="2" t="s">
        <v>819</v>
      </c>
      <c r="E602" s="5">
        <v>818</v>
      </c>
      <c r="F602" s="2" t="b">
        <v>0</v>
      </c>
      <c r="G602" s="5">
        <v>2303</v>
      </c>
      <c r="H602" s="75" t="s">
        <v>820</v>
      </c>
      <c r="I602" s="5">
        <v>34058</v>
      </c>
      <c r="J602" s="2" t="b">
        <v>0</v>
      </c>
      <c r="K602" s="5">
        <v>4776</v>
      </c>
      <c r="L602" s="4" t="s">
        <v>833</v>
      </c>
      <c r="M602" s="5">
        <v>901386</v>
      </c>
      <c r="N602" s="2" t="s">
        <v>877</v>
      </c>
      <c r="O602" s="5">
        <v>544</v>
      </c>
      <c r="P602" s="2" t="s">
        <v>838</v>
      </c>
      <c r="Q602" s="5">
        <v>1016</v>
      </c>
      <c r="R602" s="2"/>
      <c r="T602" s="2" t="s">
        <v>815</v>
      </c>
    </row>
    <row r="603" spans="1:20" x14ac:dyDescent="0.2">
      <c r="A603" s="103"/>
      <c r="B603" s="48" t="s">
        <v>699</v>
      </c>
      <c r="C603" s="22" t="s">
        <v>820</v>
      </c>
      <c r="D603" s="2" t="s">
        <v>819</v>
      </c>
      <c r="E603" s="5">
        <v>1571</v>
      </c>
      <c r="F603" s="2" t="b">
        <v>0</v>
      </c>
      <c r="G603" s="5">
        <v>2437</v>
      </c>
      <c r="H603" s="64" t="s">
        <v>837</v>
      </c>
      <c r="I603" s="5">
        <v>900238</v>
      </c>
      <c r="J603" s="2" t="b">
        <v>0</v>
      </c>
      <c r="K603" s="5">
        <v>3949</v>
      </c>
      <c r="L603" s="4" t="s">
        <v>833</v>
      </c>
      <c r="M603" s="5">
        <v>12790</v>
      </c>
      <c r="N603" s="2" t="s">
        <v>823</v>
      </c>
      <c r="O603" s="5">
        <v>1403</v>
      </c>
      <c r="P603" s="2" t="s">
        <v>838</v>
      </c>
      <c r="Q603" s="5">
        <v>1138</v>
      </c>
      <c r="R603" s="2"/>
      <c r="T603" s="2" t="s">
        <v>815</v>
      </c>
    </row>
    <row r="604" spans="1:20" x14ac:dyDescent="0.2">
      <c r="A604" s="103"/>
      <c r="B604" s="48" t="s">
        <v>698</v>
      </c>
      <c r="C604" s="61" t="s">
        <v>820</v>
      </c>
      <c r="D604" s="2" t="s">
        <v>819</v>
      </c>
      <c r="E604" s="5">
        <v>4267</v>
      </c>
      <c r="F604" s="2" t="b">
        <v>0</v>
      </c>
      <c r="G604" s="5">
        <v>11973</v>
      </c>
      <c r="H604" s="2" t="s">
        <v>838</v>
      </c>
      <c r="I604" s="5">
        <v>636345</v>
      </c>
      <c r="J604" s="2" t="b">
        <v>0</v>
      </c>
      <c r="K604" s="5">
        <v>17780</v>
      </c>
      <c r="L604" s="4" t="s">
        <v>833</v>
      </c>
      <c r="M604" s="5">
        <v>901520</v>
      </c>
      <c r="N604" s="2" t="s">
        <v>823</v>
      </c>
      <c r="O604" s="5">
        <v>7470</v>
      </c>
      <c r="P604" s="2" t="s">
        <v>838</v>
      </c>
      <c r="Q604" s="5">
        <v>1262</v>
      </c>
      <c r="R604" s="2"/>
      <c r="T604" s="2" t="s">
        <v>815</v>
      </c>
    </row>
    <row r="605" spans="1:20" x14ac:dyDescent="0.2">
      <c r="A605" s="103"/>
      <c r="B605" s="48" t="s">
        <v>697</v>
      </c>
      <c r="C605" s="22" t="s">
        <v>820</v>
      </c>
      <c r="D605" s="2" t="s">
        <v>819</v>
      </c>
      <c r="E605" s="5">
        <v>1533</v>
      </c>
      <c r="F605" s="2" t="b">
        <v>0</v>
      </c>
      <c r="G605" s="5">
        <v>2218</v>
      </c>
      <c r="H605" s="2" t="s">
        <v>819</v>
      </c>
      <c r="I605" s="5">
        <v>13173</v>
      </c>
      <c r="J605" s="2" t="b">
        <v>0</v>
      </c>
      <c r="K605" s="5">
        <v>2741</v>
      </c>
      <c r="L605" s="4" t="s">
        <v>833</v>
      </c>
      <c r="M605" s="5">
        <v>10342</v>
      </c>
      <c r="N605" s="2" t="s">
        <v>823</v>
      </c>
      <c r="O605" s="5">
        <v>806</v>
      </c>
      <c r="P605" s="2" t="s">
        <v>838</v>
      </c>
      <c r="Q605" s="5">
        <v>1046</v>
      </c>
      <c r="R605" s="2"/>
      <c r="T605" s="2" t="s">
        <v>815</v>
      </c>
    </row>
    <row r="606" spans="1:20" x14ac:dyDescent="0.2">
      <c r="A606" s="103"/>
      <c r="B606" s="48" t="s">
        <v>696</v>
      </c>
      <c r="C606" s="22" t="s">
        <v>820</v>
      </c>
      <c r="D606" s="2" t="s">
        <v>819</v>
      </c>
      <c r="E606" s="5">
        <v>1597</v>
      </c>
      <c r="F606" s="2" t="b">
        <v>0</v>
      </c>
      <c r="G606" s="5">
        <v>2411</v>
      </c>
      <c r="H606" s="2" t="s">
        <v>819</v>
      </c>
      <c r="I606" s="5">
        <v>31422</v>
      </c>
      <c r="J606" s="2" t="b">
        <v>0</v>
      </c>
      <c r="K606" s="5">
        <v>3084</v>
      </c>
      <c r="L606" s="4" t="s">
        <v>833</v>
      </c>
      <c r="M606" s="5">
        <v>144582</v>
      </c>
      <c r="N606" s="2" t="s">
        <v>823</v>
      </c>
      <c r="O606" s="5">
        <v>1801</v>
      </c>
      <c r="P606" s="2" t="s">
        <v>838</v>
      </c>
      <c r="Q606" s="5">
        <v>1181</v>
      </c>
      <c r="R606" s="2"/>
      <c r="T606" s="2" t="s">
        <v>815</v>
      </c>
    </row>
    <row r="607" spans="1:20" x14ac:dyDescent="0.2">
      <c r="A607" s="103"/>
      <c r="B607" s="48" t="s">
        <v>695</v>
      </c>
      <c r="C607" s="22" t="s">
        <v>820</v>
      </c>
      <c r="D607" s="2" t="s">
        <v>819</v>
      </c>
      <c r="E607" s="5">
        <v>1402</v>
      </c>
      <c r="F607" s="2" t="b">
        <v>0</v>
      </c>
      <c r="G607" s="5">
        <v>2174</v>
      </c>
      <c r="H607" s="2" t="s">
        <v>819</v>
      </c>
      <c r="I607" s="5">
        <v>10614</v>
      </c>
      <c r="J607" s="2" t="b">
        <v>0</v>
      </c>
      <c r="K607" s="5">
        <v>2709</v>
      </c>
      <c r="L607" s="4" t="s">
        <v>833</v>
      </c>
      <c r="M607" s="5">
        <v>9384</v>
      </c>
      <c r="N607" s="2" t="s">
        <v>823</v>
      </c>
      <c r="O607" s="5">
        <v>820</v>
      </c>
      <c r="P607" s="2" t="s">
        <v>838</v>
      </c>
      <c r="Q607" s="5">
        <v>905</v>
      </c>
      <c r="R607" s="2"/>
      <c r="T607" s="2" t="s">
        <v>815</v>
      </c>
    </row>
    <row r="608" spans="1:20" x14ac:dyDescent="0.2">
      <c r="A608" s="103"/>
      <c r="B608" s="48" t="s">
        <v>694</v>
      </c>
      <c r="C608" s="22" t="s">
        <v>820</v>
      </c>
      <c r="D608" s="2" t="s">
        <v>819</v>
      </c>
      <c r="E608" s="5">
        <v>1635</v>
      </c>
      <c r="F608" s="2" t="b">
        <v>0</v>
      </c>
      <c r="G608" s="5">
        <v>2503</v>
      </c>
      <c r="H608" s="2" t="s">
        <v>819</v>
      </c>
      <c r="I608" s="5">
        <v>36909</v>
      </c>
      <c r="J608" s="2" t="b">
        <v>0</v>
      </c>
      <c r="K608" s="5">
        <v>3235</v>
      </c>
      <c r="L608" s="4" t="s">
        <v>833</v>
      </c>
      <c r="M608" s="5">
        <v>901274</v>
      </c>
      <c r="N608" s="2" t="s">
        <v>823</v>
      </c>
      <c r="O608" s="5">
        <v>2966</v>
      </c>
      <c r="P608" s="2" t="s">
        <v>838</v>
      </c>
      <c r="Q608" s="5">
        <v>978</v>
      </c>
      <c r="R608" s="2"/>
      <c r="T608" s="2" t="s">
        <v>815</v>
      </c>
    </row>
    <row r="609" spans="1:20" x14ac:dyDescent="0.2">
      <c r="A609" s="103"/>
      <c r="B609" s="48" t="s">
        <v>693</v>
      </c>
      <c r="C609" s="22" t="s">
        <v>820</v>
      </c>
      <c r="D609" s="2" t="s">
        <v>819</v>
      </c>
      <c r="E609" s="5">
        <v>1667</v>
      </c>
      <c r="F609" s="2" t="b">
        <v>0</v>
      </c>
      <c r="G609" s="5">
        <v>2397</v>
      </c>
      <c r="H609" s="64" t="s">
        <v>837</v>
      </c>
      <c r="I609" s="5">
        <v>900238</v>
      </c>
      <c r="J609" s="2" t="b">
        <v>0</v>
      </c>
      <c r="K609" s="5">
        <v>3573</v>
      </c>
      <c r="L609" s="4" t="s">
        <v>833</v>
      </c>
      <c r="M609" s="5">
        <v>13467</v>
      </c>
      <c r="N609" s="2" t="s">
        <v>823</v>
      </c>
      <c r="O609" s="5">
        <v>1483</v>
      </c>
      <c r="P609" s="2" t="s">
        <v>838</v>
      </c>
      <c r="Q609" s="5">
        <v>1065</v>
      </c>
      <c r="R609" s="2"/>
      <c r="T609" s="2" t="s">
        <v>815</v>
      </c>
    </row>
    <row r="610" spans="1:20" x14ac:dyDescent="0.2">
      <c r="A610" s="103"/>
      <c r="B610" s="48" t="s">
        <v>692</v>
      </c>
      <c r="C610" s="61" t="s">
        <v>820</v>
      </c>
      <c r="D610" s="2" t="s">
        <v>819</v>
      </c>
      <c r="E610" s="5">
        <v>4428</v>
      </c>
      <c r="F610" s="2" t="b">
        <v>0</v>
      </c>
      <c r="G610" s="5">
        <v>12198</v>
      </c>
      <c r="H610" s="2" t="s">
        <v>838</v>
      </c>
      <c r="I610" s="5">
        <v>685261</v>
      </c>
      <c r="J610" s="2" t="b">
        <v>0</v>
      </c>
      <c r="K610" s="5">
        <v>18024</v>
      </c>
      <c r="L610" s="4" t="s">
        <v>833</v>
      </c>
      <c r="M610" s="5">
        <v>901644</v>
      </c>
      <c r="N610" s="2" t="s">
        <v>823</v>
      </c>
      <c r="O610" s="5">
        <v>6968</v>
      </c>
      <c r="P610" s="2" t="s">
        <v>838</v>
      </c>
      <c r="Q610" s="5">
        <v>1178</v>
      </c>
      <c r="R610" s="2"/>
      <c r="T610" s="2" t="s">
        <v>815</v>
      </c>
    </row>
    <row r="611" spans="1:20" x14ac:dyDescent="0.2">
      <c r="A611" s="103"/>
      <c r="B611" s="48" t="s">
        <v>691</v>
      </c>
      <c r="C611" s="22" t="s">
        <v>820</v>
      </c>
      <c r="D611" s="2" t="s">
        <v>819</v>
      </c>
      <c r="E611" s="5">
        <v>1379</v>
      </c>
      <c r="F611" s="2" t="b">
        <v>0</v>
      </c>
      <c r="G611" s="5">
        <v>2409</v>
      </c>
      <c r="H611" s="2" t="s">
        <v>838</v>
      </c>
      <c r="I611" s="5">
        <v>36910</v>
      </c>
      <c r="J611" s="2" t="b">
        <v>0</v>
      </c>
      <c r="K611" s="5">
        <v>3206</v>
      </c>
      <c r="L611" s="4" t="s">
        <v>833</v>
      </c>
      <c r="M611" s="5">
        <v>13742</v>
      </c>
      <c r="N611" s="2" t="s">
        <v>823</v>
      </c>
      <c r="O611" s="5">
        <v>1391</v>
      </c>
      <c r="P611" s="2" t="s">
        <v>838</v>
      </c>
      <c r="Q611" s="5">
        <v>995</v>
      </c>
      <c r="R611" s="2"/>
      <c r="T611" s="2" t="s">
        <v>815</v>
      </c>
    </row>
    <row r="612" spans="1:20" x14ac:dyDescent="0.2">
      <c r="A612" s="103"/>
      <c r="B612" s="48" t="s">
        <v>690</v>
      </c>
      <c r="C612" s="22" t="s">
        <v>820</v>
      </c>
      <c r="D612" s="2" t="s">
        <v>819</v>
      </c>
      <c r="E612" s="5">
        <v>1499</v>
      </c>
      <c r="F612" s="2" t="b">
        <v>0</v>
      </c>
      <c r="G612" s="5">
        <v>2252</v>
      </c>
      <c r="H612" s="2" t="s">
        <v>838</v>
      </c>
      <c r="I612" s="5">
        <v>27152</v>
      </c>
      <c r="J612" s="2" t="b">
        <v>0</v>
      </c>
      <c r="K612" s="5">
        <v>5018</v>
      </c>
      <c r="L612" s="4" t="s">
        <v>833</v>
      </c>
      <c r="M612" s="5">
        <v>101880</v>
      </c>
      <c r="N612" s="2" t="s">
        <v>823</v>
      </c>
      <c r="O612" s="5">
        <v>1091</v>
      </c>
      <c r="P612" s="2" t="s">
        <v>838</v>
      </c>
      <c r="Q612" s="5">
        <v>1053</v>
      </c>
      <c r="R612" s="2"/>
      <c r="T612" s="2" t="s">
        <v>815</v>
      </c>
    </row>
    <row r="613" spans="1:20" x14ac:dyDescent="0.2">
      <c r="A613" s="103"/>
      <c r="B613" s="28" t="s">
        <v>689</v>
      </c>
      <c r="C613" s="22" t="s">
        <v>820</v>
      </c>
      <c r="D613" s="2" t="s">
        <v>820</v>
      </c>
      <c r="E613" s="5">
        <v>10223</v>
      </c>
      <c r="F613" s="2" t="b">
        <v>0</v>
      </c>
      <c r="G613" s="5">
        <v>2234</v>
      </c>
      <c r="H613" s="2" t="s">
        <v>819</v>
      </c>
      <c r="I613" s="5">
        <v>72614</v>
      </c>
      <c r="J613" s="2" t="b">
        <v>0</v>
      </c>
      <c r="K613" s="5">
        <v>3668</v>
      </c>
      <c r="L613" s="4" t="s">
        <v>833</v>
      </c>
      <c r="M613" s="5">
        <v>25080</v>
      </c>
      <c r="N613" s="2" t="s">
        <v>822</v>
      </c>
      <c r="O613" s="5">
        <v>247</v>
      </c>
      <c r="P613" s="2" t="s">
        <v>838</v>
      </c>
      <c r="Q613" s="5">
        <v>897</v>
      </c>
      <c r="R613" s="2"/>
      <c r="T613" s="2"/>
    </row>
    <row r="614" spans="1:20" x14ac:dyDescent="0.2">
      <c r="A614" s="103"/>
      <c r="B614" s="44" t="s">
        <v>688</v>
      </c>
      <c r="C614" s="22" t="s">
        <v>820</v>
      </c>
      <c r="D614" s="2" t="s">
        <v>819</v>
      </c>
      <c r="E614" s="5">
        <v>1436</v>
      </c>
      <c r="F614" s="2" t="s">
        <v>883</v>
      </c>
      <c r="G614" s="5">
        <v>122329</v>
      </c>
      <c r="H614" s="64" t="s">
        <v>837</v>
      </c>
      <c r="I614" s="5">
        <v>910024</v>
      </c>
      <c r="J614" s="2" t="b">
        <v>0</v>
      </c>
      <c r="K614" s="5">
        <v>11045</v>
      </c>
      <c r="L614" s="4" t="s">
        <v>833</v>
      </c>
      <c r="M614" s="5">
        <v>4713</v>
      </c>
      <c r="N614" s="2" t="s">
        <v>876</v>
      </c>
      <c r="O614" s="5">
        <v>358</v>
      </c>
      <c r="P614" s="2" t="s">
        <v>818</v>
      </c>
      <c r="Q614" s="5">
        <v>1493</v>
      </c>
      <c r="R614" s="2" t="s">
        <v>814</v>
      </c>
    </row>
    <row r="615" spans="1:20" x14ac:dyDescent="0.2">
      <c r="A615" s="103"/>
      <c r="B615" s="28" t="s">
        <v>687</v>
      </c>
      <c r="C615" s="61" t="s">
        <v>820</v>
      </c>
      <c r="D615" s="2" t="s">
        <v>837</v>
      </c>
      <c r="E615" s="5">
        <v>902818</v>
      </c>
      <c r="F615" s="2" t="b">
        <v>0</v>
      </c>
      <c r="G615" s="5">
        <v>3834</v>
      </c>
      <c r="H615" s="2" t="s">
        <v>838</v>
      </c>
      <c r="I615" s="5">
        <v>17252</v>
      </c>
      <c r="J615" s="2" t="b">
        <v>0</v>
      </c>
      <c r="K615" s="5">
        <v>16816</v>
      </c>
      <c r="L615" s="4" t="s">
        <v>838</v>
      </c>
      <c r="M615" s="5">
        <v>31840</v>
      </c>
      <c r="N615" s="2" t="s">
        <v>823</v>
      </c>
      <c r="O615" s="5">
        <v>2346</v>
      </c>
      <c r="P615" s="2" t="s">
        <v>838</v>
      </c>
      <c r="Q615" s="5">
        <v>991</v>
      </c>
      <c r="R615" s="2"/>
      <c r="T615" s="2"/>
    </row>
    <row r="616" spans="1:20" x14ac:dyDescent="0.2">
      <c r="A616" s="103"/>
      <c r="B616" s="28" t="s">
        <v>686</v>
      </c>
      <c r="C616" s="22" t="s">
        <v>820</v>
      </c>
      <c r="D616" s="2" t="s">
        <v>837</v>
      </c>
      <c r="E616" s="5">
        <v>905319</v>
      </c>
      <c r="F616" s="2" t="b">
        <v>0</v>
      </c>
      <c r="G616" s="5">
        <v>3541</v>
      </c>
      <c r="H616" s="75" t="s">
        <v>820</v>
      </c>
      <c r="I616" s="5">
        <v>18818</v>
      </c>
      <c r="J616" s="2" t="s">
        <v>838</v>
      </c>
      <c r="K616" s="5">
        <v>22684</v>
      </c>
      <c r="L616" s="4" t="s">
        <v>838</v>
      </c>
      <c r="M616" s="5">
        <v>25296</v>
      </c>
      <c r="N616" s="2" t="s">
        <v>823</v>
      </c>
      <c r="O616" s="5">
        <v>2538</v>
      </c>
      <c r="P616" s="2" t="s">
        <v>838</v>
      </c>
      <c r="Q616" s="5">
        <v>1414</v>
      </c>
      <c r="R616" s="2"/>
      <c r="T616" s="2"/>
    </row>
    <row r="617" spans="1:20" x14ac:dyDescent="0.2">
      <c r="A617" s="103"/>
      <c r="B617" s="28" t="s">
        <v>685</v>
      </c>
      <c r="C617" s="81" t="s">
        <v>820</v>
      </c>
      <c r="D617" s="2" t="s">
        <v>837</v>
      </c>
      <c r="E617" s="5">
        <v>903559</v>
      </c>
      <c r="F617" s="2" t="b">
        <v>0</v>
      </c>
      <c r="G617" s="5">
        <v>19935</v>
      </c>
      <c r="H617" s="2" t="s">
        <v>838</v>
      </c>
      <c r="I617" s="5">
        <v>105727</v>
      </c>
      <c r="J617" s="2" t="s">
        <v>833</v>
      </c>
      <c r="K617" s="5">
        <v>900389</v>
      </c>
      <c r="L617" s="4" t="s">
        <v>833</v>
      </c>
      <c r="M617" s="5">
        <v>903934</v>
      </c>
      <c r="N617" s="2" t="s">
        <v>823</v>
      </c>
      <c r="O617" s="5">
        <v>25704</v>
      </c>
      <c r="P617" s="2" t="s">
        <v>838</v>
      </c>
      <c r="Q617" s="5">
        <v>1415</v>
      </c>
      <c r="R617" s="2"/>
      <c r="T617" s="2"/>
    </row>
    <row r="618" spans="1:20" x14ac:dyDescent="0.2">
      <c r="A618" s="103"/>
      <c r="B618" s="28" t="s">
        <v>684</v>
      </c>
      <c r="C618" s="22" t="s">
        <v>819</v>
      </c>
      <c r="D618" s="2" t="s">
        <v>837</v>
      </c>
      <c r="E618" s="5">
        <v>901721</v>
      </c>
      <c r="F618" s="2" t="s">
        <v>883</v>
      </c>
      <c r="G618" s="5">
        <v>302894</v>
      </c>
      <c r="H618" s="2" t="s">
        <v>838</v>
      </c>
      <c r="I618" s="5">
        <v>218287</v>
      </c>
      <c r="J618" s="2" t="s">
        <v>833</v>
      </c>
      <c r="K618" s="5">
        <v>900569</v>
      </c>
      <c r="L618" s="4" t="s">
        <v>833</v>
      </c>
      <c r="M618" s="5">
        <v>903340</v>
      </c>
      <c r="N618" s="2" t="s">
        <v>823</v>
      </c>
      <c r="O618" s="5">
        <v>7484</v>
      </c>
      <c r="P618" s="2" t="s">
        <v>838</v>
      </c>
      <c r="Q618" s="5">
        <v>63636</v>
      </c>
      <c r="R618" s="2"/>
      <c r="T618" s="2"/>
    </row>
    <row r="619" spans="1:20" x14ac:dyDescent="0.2">
      <c r="A619" s="103"/>
      <c r="B619" s="27" t="s">
        <v>683</v>
      </c>
      <c r="C619" s="22" t="s">
        <v>819</v>
      </c>
      <c r="D619" s="2" t="s">
        <v>819</v>
      </c>
      <c r="E619" s="5">
        <v>89525</v>
      </c>
      <c r="F619" s="2" t="s">
        <v>883</v>
      </c>
      <c r="G619" s="5">
        <v>303622</v>
      </c>
      <c r="H619" s="64" t="s">
        <v>837</v>
      </c>
      <c r="I619" s="5">
        <v>900519</v>
      </c>
      <c r="J619" s="2" t="s">
        <v>833</v>
      </c>
      <c r="K619" s="5">
        <v>901207</v>
      </c>
      <c r="L619" s="4" t="s">
        <v>833</v>
      </c>
      <c r="M619" s="5">
        <v>908648</v>
      </c>
      <c r="N619" s="2" t="s">
        <v>823</v>
      </c>
      <c r="O619" s="5">
        <v>14121</v>
      </c>
      <c r="P619" s="2" t="s">
        <v>838</v>
      </c>
      <c r="Q619" s="5">
        <v>1801</v>
      </c>
      <c r="R619" s="2"/>
      <c r="T619" s="2" t="s">
        <v>811</v>
      </c>
    </row>
    <row r="620" spans="1:20" x14ac:dyDescent="0.2">
      <c r="A620" s="103"/>
      <c r="B620" s="28" t="s">
        <v>682</v>
      </c>
      <c r="C620" s="22" t="s">
        <v>819</v>
      </c>
      <c r="D620" s="2" t="s">
        <v>819</v>
      </c>
      <c r="E620" s="5">
        <v>98437</v>
      </c>
      <c r="F620" s="2" t="s">
        <v>883</v>
      </c>
      <c r="G620" s="5">
        <v>304165</v>
      </c>
      <c r="H620" s="64" t="s">
        <v>837</v>
      </c>
      <c r="I620" s="5">
        <v>900519</v>
      </c>
      <c r="J620" s="2" t="s">
        <v>833</v>
      </c>
      <c r="K620" s="5">
        <v>903593</v>
      </c>
      <c r="L620" s="4" t="s">
        <v>833</v>
      </c>
      <c r="M620" s="5">
        <v>908575</v>
      </c>
      <c r="N620" s="2" t="s">
        <v>823</v>
      </c>
      <c r="O620" s="5">
        <v>95617</v>
      </c>
      <c r="P620" s="2" t="s">
        <v>838</v>
      </c>
      <c r="Q620" s="5">
        <v>46306</v>
      </c>
      <c r="R620" s="2"/>
      <c r="T620" s="2" t="s">
        <v>811</v>
      </c>
    </row>
    <row r="621" spans="1:20" x14ac:dyDescent="0.2">
      <c r="A621" s="103"/>
      <c r="B621" s="48" t="s">
        <v>681</v>
      </c>
      <c r="C621" s="61" t="s">
        <v>818</v>
      </c>
      <c r="D621" s="2" t="s">
        <v>819</v>
      </c>
      <c r="E621" s="5">
        <v>0</v>
      </c>
      <c r="F621" s="2" t="s">
        <v>883</v>
      </c>
      <c r="G621" s="5">
        <v>319484</v>
      </c>
      <c r="H621" s="2" t="s">
        <v>838</v>
      </c>
      <c r="I621" s="5">
        <v>8402</v>
      </c>
      <c r="J621" s="2" t="s">
        <v>833</v>
      </c>
      <c r="K621" s="5">
        <v>903370</v>
      </c>
      <c r="L621" s="4" t="s">
        <v>833</v>
      </c>
      <c r="M621" s="5">
        <v>961612</v>
      </c>
      <c r="N621" s="2" t="s">
        <v>823</v>
      </c>
      <c r="O621" s="5">
        <v>131643</v>
      </c>
      <c r="P621" s="2" t="s">
        <v>818</v>
      </c>
      <c r="Q621" s="5">
        <v>1991</v>
      </c>
      <c r="R621" s="2"/>
      <c r="T621" s="2" t="s">
        <v>815</v>
      </c>
    </row>
    <row r="622" spans="1:20" x14ac:dyDescent="0.2">
      <c r="A622" s="103"/>
      <c r="B622" s="48" t="s">
        <v>680</v>
      </c>
      <c r="C622" s="61" t="s">
        <v>818</v>
      </c>
      <c r="D622" s="2" t="s">
        <v>819</v>
      </c>
      <c r="E622" s="5">
        <v>0</v>
      </c>
      <c r="F622" s="2" t="s">
        <v>883</v>
      </c>
      <c r="G622" s="5">
        <v>348037</v>
      </c>
      <c r="H622" s="64" t="s">
        <v>837</v>
      </c>
      <c r="I622" s="5">
        <v>900562</v>
      </c>
      <c r="J622" s="2" t="s">
        <v>833</v>
      </c>
      <c r="K622" s="5">
        <v>902516</v>
      </c>
      <c r="L622" s="4" t="s">
        <v>833</v>
      </c>
      <c r="M622" s="5">
        <v>1200946</v>
      </c>
      <c r="N622" s="2" t="s">
        <v>823</v>
      </c>
      <c r="O622" s="5">
        <v>294878</v>
      </c>
      <c r="P622" s="2" t="s">
        <v>818</v>
      </c>
      <c r="Q622" s="5">
        <v>1904</v>
      </c>
      <c r="R622" s="2"/>
      <c r="T622" s="2" t="s">
        <v>815</v>
      </c>
    </row>
    <row r="623" spans="1:20" x14ac:dyDescent="0.2">
      <c r="A623" s="103"/>
      <c r="B623" s="48" t="s">
        <v>679</v>
      </c>
      <c r="C623" s="61" t="s">
        <v>818</v>
      </c>
      <c r="D623" s="2" t="s">
        <v>819</v>
      </c>
      <c r="E623" s="5">
        <v>0</v>
      </c>
      <c r="F623" s="2" t="s">
        <v>883</v>
      </c>
      <c r="G623" s="5">
        <v>350498</v>
      </c>
      <c r="H623" s="64" t="s">
        <v>837</v>
      </c>
      <c r="I623" s="5">
        <v>900534</v>
      </c>
      <c r="J623" s="2" t="s">
        <v>833</v>
      </c>
      <c r="K623" s="5">
        <v>903421</v>
      </c>
      <c r="L623" s="4" t="s">
        <v>833</v>
      </c>
      <c r="M623" s="5">
        <v>6675340</v>
      </c>
      <c r="N623" s="2" t="s">
        <v>821</v>
      </c>
      <c r="O623" s="5">
        <v>901667</v>
      </c>
      <c r="P623" s="2" t="s">
        <v>818</v>
      </c>
      <c r="Q623" s="5">
        <v>2080</v>
      </c>
      <c r="R623" s="2"/>
      <c r="T623" s="2" t="s">
        <v>815</v>
      </c>
    </row>
    <row r="624" spans="1:20" x14ac:dyDescent="0.2">
      <c r="A624" s="103"/>
      <c r="B624" s="28" t="s">
        <v>678</v>
      </c>
      <c r="C624" s="81" t="s">
        <v>820</v>
      </c>
      <c r="D624" s="2" t="s">
        <v>837</v>
      </c>
      <c r="E624" s="5">
        <v>901347</v>
      </c>
      <c r="F624" s="2" t="b">
        <v>0</v>
      </c>
      <c r="G624" s="5">
        <v>5454</v>
      </c>
      <c r="H624" s="2" t="s">
        <v>838</v>
      </c>
      <c r="I624" s="5">
        <v>16015</v>
      </c>
      <c r="J624" s="2" t="s">
        <v>833</v>
      </c>
      <c r="K624" s="5">
        <v>115690</v>
      </c>
      <c r="L624" s="4" t="s">
        <v>837</v>
      </c>
      <c r="M624" s="5">
        <v>912432</v>
      </c>
      <c r="N624" s="2" t="s">
        <v>823</v>
      </c>
      <c r="O624" s="5">
        <v>6621</v>
      </c>
      <c r="P624" s="2" t="s">
        <v>838</v>
      </c>
      <c r="Q624" s="5">
        <v>1034</v>
      </c>
      <c r="R624" s="2"/>
      <c r="T624" s="2"/>
    </row>
    <row r="625" spans="1:20" x14ac:dyDescent="0.2">
      <c r="A625" s="103"/>
      <c r="B625" s="28" t="s">
        <v>677</v>
      </c>
      <c r="C625" s="81" t="s">
        <v>820</v>
      </c>
      <c r="D625" s="2" t="s">
        <v>837</v>
      </c>
      <c r="E625" s="5">
        <v>901825</v>
      </c>
      <c r="F625" s="2" t="b">
        <v>0</v>
      </c>
      <c r="G625" s="5">
        <v>7522</v>
      </c>
      <c r="H625" s="2" t="s">
        <v>838</v>
      </c>
      <c r="I625" s="5">
        <v>18227</v>
      </c>
      <c r="J625" s="2" t="s">
        <v>838</v>
      </c>
      <c r="K625" s="5">
        <v>241561</v>
      </c>
      <c r="L625" s="4" t="s">
        <v>833</v>
      </c>
      <c r="M625" s="5">
        <v>901876</v>
      </c>
      <c r="N625" s="2" t="s">
        <v>823</v>
      </c>
      <c r="O625" s="5">
        <v>19927</v>
      </c>
      <c r="P625" s="2" t="s">
        <v>838</v>
      </c>
      <c r="Q625" s="5">
        <v>977</v>
      </c>
      <c r="R625" s="2"/>
      <c r="T625" s="2"/>
    </row>
    <row r="626" spans="1:20" x14ac:dyDescent="0.2">
      <c r="A626" s="103"/>
      <c r="B626" s="28" t="s">
        <v>676</v>
      </c>
      <c r="C626" s="22" t="s">
        <v>819</v>
      </c>
      <c r="D626" s="2" t="s">
        <v>837</v>
      </c>
      <c r="E626" s="5">
        <v>902096</v>
      </c>
      <c r="F626" s="2" t="s">
        <v>883</v>
      </c>
      <c r="G626" s="5">
        <v>302608</v>
      </c>
      <c r="H626" s="2" t="s">
        <v>838</v>
      </c>
      <c r="I626" s="5">
        <v>139397</v>
      </c>
      <c r="J626" s="64" t="s">
        <v>833</v>
      </c>
      <c r="K626" s="5">
        <v>902600</v>
      </c>
      <c r="L626" s="4" t="s">
        <v>833</v>
      </c>
      <c r="M626" s="5">
        <v>15395</v>
      </c>
      <c r="N626" s="2" t="s">
        <v>823</v>
      </c>
      <c r="O626" s="5">
        <v>107851</v>
      </c>
      <c r="P626" s="2" t="s">
        <v>838</v>
      </c>
      <c r="Q626" s="5">
        <v>2038</v>
      </c>
      <c r="R626" s="2"/>
      <c r="T626" s="2"/>
    </row>
    <row r="627" spans="1:20" x14ac:dyDescent="0.2">
      <c r="A627" s="103"/>
      <c r="B627" s="28" t="s">
        <v>675</v>
      </c>
      <c r="C627" s="22" t="s">
        <v>819</v>
      </c>
      <c r="D627" s="2" t="s">
        <v>819</v>
      </c>
      <c r="E627" s="5">
        <v>73406</v>
      </c>
      <c r="F627" s="2" t="s">
        <v>883</v>
      </c>
      <c r="G627" s="5">
        <v>303653</v>
      </c>
      <c r="H627" s="64" t="s">
        <v>837</v>
      </c>
      <c r="I627" s="5">
        <v>900569</v>
      </c>
      <c r="J627" s="2" t="s">
        <v>833</v>
      </c>
      <c r="K627" s="5">
        <v>900873</v>
      </c>
      <c r="L627" s="4" t="s">
        <v>833</v>
      </c>
      <c r="M627" s="5">
        <v>903022</v>
      </c>
      <c r="N627" s="2" t="s">
        <v>823</v>
      </c>
      <c r="O627" s="5">
        <v>324246</v>
      </c>
      <c r="P627" s="2" t="s">
        <v>838</v>
      </c>
      <c r="Q627" s="5">
        <v>2110</v>
      </c>
      <c r="R627" s="2"/>
      <c r="T627" s="2" t="s">
        <v>811</v>
      </c>
    </row>
    <row r="628" spans="1:20" x14ac:dyDescent="0.2">
      <c r="A628" s="103"/>
      <c r="B628" s="28" t="s">
        <v>674</v>
      </c>
      <c r="C628" s="81" t="s">
        <v>820</v>
      </c>
      <c r="D628" s="2" t="s">
        <v>837</v>
      </c>
      <c r="E628" s="5">
        <v>904889</v>
      </c>
      <c r="F628" s="2" t="b">
        <v>0</v>
      </c>
      <c r="G628" s="5">
        <v>74305</v>
      </c>
      <c r="H628" s="2" t="s">
        <v>838</v>
      </c>
      <c r="I628" s="5">
        <v>14310</v>
      </c>
      <c r="J628" s="2" t="s">
        <v>833</v>
      </c>
      <c r="K628" s="5">
        <v>376431</v>
      </c>
      <c r="L628" s="4" t="s">
        <v>837</v>
      </c>
      <c r="M628" s="5">
        <v>911900</v>
      </c>
      <c r="N628" s="2" t="s">
        <v>823</v>
      </c>
      <c r="O628" s="5">
        <v>5930</v>
      </c>
      <c r="P628" s="2" t="s">
        <v>838</v>
      </c>
      <c r="Q628" s="5">
        <v>1213</v>
      </c>
      <c r="R628" s="2"/>
      <c r="T628" s="2"/>
    </row>
    <row r="629" spans="1:20" x14ac:dyDescent="0.2">
      <c r="A629" s="103"/>
      <c r="B629" s="28" t="s">
        <v>673</v>
      </c>
      <c r="C629" s="81" t="s">
        <v>820</v>
      </c>
      <c r="D629" s="2" t="s">
        <v>837</v>
      </c>
      <c r="E629" s="5">
        <v>905765</v>
      </c>
      <c r="F629" s="2" t="b">
        <v>0</v>
      </c>
      <c r="G629" s="5">
        <v>81591</v>
      </c>
      <c r="H629" s="2" t="s">
        <v>838</v>
      </c>
      <c r="I629" s="5">
        <v>26701</v>
      </c>
      <c r="J629" s="2" t="s">
        <v>833</v>
      </c>
      <c r="K629" s="5">
        <v>900342</v>
      </c>
      <c r="L629" s="4" t="s">
        <v>833</v>
      </c>
      <c r="M629" s="5">
        <v>902710</v>
      </c>
      <c r="N629" s="2" t="s">
        <v>823</v>
      </c>
      <c r="O629" s="5">
        <v>135112</v>
      </c>
      <c r="P629" s="2" t="s">
        <v>838</v>
      </c>
      <c r="Q629" s="5">
        <v>1584</v>
      </c>
      <c r="R629" s="2"/>
      <c r="T629" s="2"/>
    </row>
    <row r="630" spans="1:20" x14ac:dyDescent="0.2">
      <c r="A630" s="103"/>
      <c r="B630" s="28" t="s">
        <v>672</v>
      </c>
      <c r="C630" s="81" t="s">
        <v>820</v>
      </c>
      <c r="D630" s="2" t="s">
        <v>837</v>
      </c>
      <c r="E630" s="5">
        <v>905713</v>
      </c>
      <c r="F630" s="2" t="b">
        <v>0</v>
      </c>
      <c r="G630" s="5">
        <v>44274</v>
      </c>
      <c r="H630" s="2" t="s">
        <v>838</v>
      </c>
      <c r="I630" s="5">
        <v>26173</v>
      </c>
      <c r="J630" s="2" t="s">
        <v>838</v>
      </c>
      <c r="K630" s="5">
        <v>795422</v>
      </c>
      <c r="L630" s="4" t="s">
        <v>837</v>
      </c>
      <c r="M630" s="5">
        <v>911856</v>
      </c>
      <c r="N630" s="2" t="s">
        <v>823</v>
      </c>
      <c r="O630" s="5">
        <v>19070</v>
      </c>
      <c r="P630" s="2" t="s">
        <v>838</v>
      </c>
      <c r="Q630" s="5">
        <v>896</v>
      </c>
      <c r="R630" s="2"/>
      <c r="T630" s="2"/>
    </row>
    <row r="631" spans="1:20" x14ac:dyDescent="0.2">
      <c r="A631" s="103"/>
      <c r="B631" s="28" t="s">
        <v>671</v>
      </c>
      <c r="C631" s="81" t="s">
        <v>820</v>
      </c>
      <c r="D631" s="2" t="s">
        <v>837</v>
      </c>
      <c r="E631" s="5">
        <v>905009</v>
      </c>
      <c r="F631" s="2" t="b">
        <v>0</v>
      </c>
      <c r="G631" s="5">
        <v>84385</v>
      </c>
      <c r="H631" s="2" t="s">
        <v>838</v>
      </c>
      <c r="I631" s="5">
        <v>41901</v>
      </c>
      <c r="J631" s="2" t="s">
        <v>833</v>
      </c>
      <c r="K631" s="5">
        <v>900325</v>
      </c>
      <c r="L631" s="4" t="s">
        <v>833</v>
      </c>
      <c r="M631" s="5">
        <v>902292</v>
      </c>
      <c r="N631" s="2" t="s">
        <v>823</v>
      </c>
      <c r="O631" s="5">
        <v>196088</v>
      </c>
      <c r="P631" s="2" t="s">
        <v>838</v>
      </c>
      <c r="Q631" s="5">
        <v>1613</v>
      </c>
      <c r="R631" s="2"/>
      <c r="T631" s="2"/>
    </row>
    <row r="632" spans="1:20" x14ac:dyDescent="0.2">
      <c r="A632" s="103"/>
      <c r="B632" s="28" t="s">
        <v>670</v>
      </c>
      <c r="C632" s="81" t="s">
        <v>820</v>
      </c>
      <c r="D632" s="2" t="s">
        <v>837</v>
      </c>
      <c r="E632" s="5">
        <v>904350</v>
      </c>
      <c r="F632" s="2" t="b">
        <v>0</v>
      </c>
      <c r="G632" s="5">
        <v>109142</v>
      </c>
      <c r="H632" s="2" t="s">
        <v>838</v>
      </c>
      <c r="I632" s="5">
        <v>63892</v>
      </c>
      <c r="J632" s="2" t="s">
        <v>833</v>
      </c>
      <c r="K632" s="5">
        <v>901853</v>
      </c>
      <c r="L632" s="4" t="s">
        <v>833</v>
      </c>
      <c r="M632" s="5">
        <v>903585</v>
      </c>
      <c r="N632" s="2" t="s">
        <v>823</v>
      </c>
      <c r="O632" s="5">
        <v>28018</v>
      </c>
      <c r="P632" s="2" t="s">
        <v>838</v>
      </c>
      <c r="Q632" s="5">
        <v>1701</v>
      </c>
      <c r="R632" s="2"/>
      <c r="T632" s="2"/>
    </row>
    <row r="633" spans="1:20" x14ac:dyDescent="0.2">
      <c r="A633" s="103"/>
      <c r="B633" s="27" t="s">
        <v>669</v>
      </c>
      <c r="C633" s="22" t="s">
        <v>819</v>
      </c>
      <c r="D633" s="2" t="s">
        <v>819</v>
      </c>
      <c r="E633" s="5">
        <v>79551</v>
      </c>
      <c r="F633" s="2" t="s">
        <v>883</v>
      </c>
      <c r="G633" s="5">
        <v>303974</v>
      </c>
      <c r="H633" s="2" t="s">
        <v>838</v>
      </c>
      <c r="I633" s="5">
        <v>483812</v>
      </c>
      <c r="J633" s="2" t="s">
        <v>833</v>
      </c>
      <c r="K633" s="5">
        <v>902716</v>
      </c>
      <c r="L633" s="4" t="s">
        <v>833</v>
      </c>
      <c r="M633" s="5">
        <v>905864</v>
      </c>
      <c r="N633" s="2" t="s">
        <v>823</v>
      </c>
      <c r="O633" s="5">
        <v>420112</v>
      </c>
      <c r="P633" s="2" t="s">
        <v>838</v>
      </c>
      <c r="Q633" s="5">
        <v>1631</v>
      </c>
      <c r="R633" s="2"/>
      <c r="T633" s="2" t="s">
        <v>811</v>
      </c>
    </row>
    <row r="634" spans="1:20" x14ac:dyDescent="0.2">
      <c r="A634" s="103"/>
      <c r="B634" s="44" t="s">
        <v>668</v>
      </c>
      <c r="C634" s="22" t="s">
        <v>818</v>
      </c>
      <c r="D634" s="2" t="s">
        <v>819</v>
      </c>
      <c r="E634" s="5">
        <v>2253</v>
      </c>
      <c r="F634" s="2" t="b">
        <v>1</v>
      </c>
      <c r="G634" s="5">
        <v>3943</v>
      </c>
      <c r="H634" s="2" t="s">
        <v>818</v>
      </c>
      <c r="I634" s="5">
        <v>17238</v>
      </c>
      <c r="J634" s="2" t="s">
        <v>833</v>
      </c>
      <c r="K634" s="5">
        <v>903678</v>
      </c>
      <c r="L634" s="4" t="s">
        <v>833</v>
      </c>
      <c r="M634" s="5">
        <v>4791</v>
      </c>
      <c r="N634" s="2" t="s">
        <v>876</v>
      </c>
      <c r="O634" s="5">
        <v>317</v>
      </c>
      <c r="P634" s="2" t="s">
        <v>818</v>
      </c>
      <c r="Q634" s="5">
        <v>1075</v>
      </c>
      <c r="R634" s="2" t="s">
        <v>101</v>
      </c>
      <c r="T634" s="2"/>
    </row>
    <row r="635" spans="1:20" x14ac:dyDescent="0.2">
      <c r="A635" s="103"/>
      <c r="B635" s="48" t="s">
        <v>667</v>
      </c>
      <c r="C635" s="61" t="s">
        <v>818</v>
      </c>
      <c r="D635" s="2" t="s">
        <v>819</v>
      </c>
      <c r="E635" s="5">
        <v>2265</v>
      </c>
      <c r="F635" s="2" t="b">
        <v>1</v>
      </c>
      <c r="G635" s="5">
        <v>4239</v>
      </c>
      <c r="H635" s="2" t="s">
        <v>819</v>
      </c>
      <c r="I635" s="5">
        <v>2638</v>
      </c>
      <c r="J635" s="2" t="s">
        <v>833</v>
      </c>
      <c r="K635" s="5">
        <v>902520</v>
      </c>
      <c r="L635" s="4" t="s">
        <v>833</v>
      </c>
      <c r="M635" s="5">
        <v>249166</v>
      </c>
      <c r="N635" s="2" t="s">
        <v>876</v>
      </c>
      <c r="O635" s="5">
        <v>68661</v>
      </c>
      <c r="P635" s="2" t="s">
        <v>838</v>
      </c>
      <c r="Q635" s="5">
        <v>1743</v>
      </c>
      <c r="R635" s="2"/>
      <c r="T635" s="2" t="s">
        <v>815</v>
      </c>
    </row>
    <row r="636" spans="1:20" x14ac:dyDescent="0.2">
      <c r="A636" s="103"/>
      <c r="B636" s="48" t="s">
        <v>666</v>
      </c>
      <c r="C636" s="61" t="s">
        <v>818</v>
      </c>
      <c r="D636" s="2" t="s">
        <v>819</v>
      </c>
      <c r="E636" s="5">
        <v>10472</v>
      </c>
      <c r="F636" s="2" t="b">
        <v>1</v>
      </c>
      <c r="G636" s="5">
        <v>9756</v>
      </c>
      <c r="H636" s="2" t="s">
        <v>819</v>
      </c>
      <c r="I636" s="5">
        <v>7864</v>
      </c>
      <c r="J636" s="2" t="b">
        <v>1</v>
      </c>
      <c r="K636" s="5">
        <v>350359</v>
      </c>
      <c r="L636" s="4" t="b">
        <v>1</v>
      </c>
      <c r="M636" s="5">
        <v>7431</v>
      </c>
      <c r="N636" s="2" t="s">
        <v>876</v>
      </c>
      <c r="O636" s="5">
        <v>111851</v>
      </c>
      <c r="P636" s="2" t="s">
        <v>818</v>
      </c>
      <c r="Q636" s="5">
        <v>1730</v>
      </c>
      <c r="R636" s="2"/>
      <c r="T636" s="2" t="s">
        <v>815</v>
      </c>
    </row>
    <row r="637" spans="1:20" x14ac:dyDescent="0.2">
      <c r="A637" s="103"/>
      <c r="B637" s="48" t="s">
        <v>665</v>
      </c>
      <c r="C637" s="61" t="s">
        <v>818</v>
      </c>
      <c r="D637" s="2" t="s">
        <v>819</v>
      </c>
      <c r="E637" s="5">
        <v>1589</v>
      </c>
      <c r="F637" s="2" t="b">
        <v>1</v>
      </c>
      <c r="G637" s="5">
        <v>6838</v>
      </c>
      <c r="H637" s="2" t="s">
        <v>819</v>
      </c>
      <c r="I637" s="5">
        <v>2446</v>
      </c>
      <c r="J637" s="2" t="s">
        <v>833</v>
      </c>
      <c r="K637" s="5">
        <v>901902</v>
      </c>
      <c r="L637" s="4" t="s">
        <v>833</v>
      </c>
      <c r="M637" s="5">
        <v>901430</v>
      </c>
      <c r="N637" s="2" t="s">
        <v>876</v>
      </c>
      <c r="O637" s="5">
        <v>13150</v>
      </c>
      <c r="P637" s="2" t="s">
        <v>838</v>
      </c>
      <c r="Q637" s="5">
        <v>1316</v>
      </c>
      <c r="R637" s="2"/>
      <c r="T637" s="2" t="s">
        <v>815</v>
      </c>
    </row>
    <row r="638" spans="1:20" x14ac:dyDescent="0.2">
      <c r="A638" s="103"/>
      <c r="B638" s="28" t="s">
        <v>664</v>
      </c>
      <c r="C638" s="22" t="s">
        <v>818</v>
      </c>
      <c r="D638" s="2" t="s">
        <v>837</v>
      </c>
      <c r="E638" s="5">
        <v>904178</v>
      </c>
      <c r="F638" s="2" t="b">
        <v>0</v>
      </c>
      <c r="G638" s="5">
        <v>15758</v>
      </c>
      <c r="H638" s="2" t="s">
        <v>838</v>
      </c>
      <c r="I638" s="5">
        <v>22123</v>
      </c>
      <c r="J638" s="2" t="b">
        <v>1</v>
      </c>
      <c r="K638" s="5">
        <v>12945</v>
      </c>
      <c r="L638" s="4" t="s">
        <v>837</v>
      </c>
      <c r="M638" s="5">
        <v>911841</v>
      </c>
      <c r="N638" s="2" t="s">
        <v>823</v>
      </c>
      <c r="O638" s="5">
        <v>350890</v>
      </c>
      <c r="P638" s="2" t="s">
        <v>838</v>
      </c>
      <c r="Q638" s="5">
        <v>1169</v>
      </c>
      <c r="R638" s="2"/>
      <c r="T638" s="2"/>
    </row>
    <row r="639" spans="1:20" x14ac:dyDescent="0.2">
      <c r="A639" s="103"/>
      <c r="B639" s="28" t="s">
        <v>663</v>
      </c>
      <c r="C639" s="22" t="s">
        <v>820</v>
      </c>
      <c r="D639" s="2" t="s">
        <v>837</v>
      </c>
      <c r="E639" s="5">
        <v>904920</v>
      </c>
      <c r="F639" s="2" t="b">
        <v>0</v>
      </c>
      <c r="G639" s="5">
        <v>4693</v>
      </c>
      <c r="H639" s="2" t="s">
        <v>819</v>
      </c>
      <c r="I639" s="5">
        <v>7325</v>
      </c>
      <c r="J639" s="2" t="b">
        <v>0</v>
      </c>
      <c r="K639" s="5">
        <v>16287</v>
      </c>
      <c r="L639" s="4" t="s">
        <v>833</v>
      </c>
      <c r="M639" s="5">
        <v>901568</v>
      </c>
      <c r="N639" s="2" t="s">
        <v>821</v>
      </c>
      <c r="O639" s="5">
        <v>900254</v>
      </c>
      <c r="P639" s="2" t="s">
        <v>838</v>
      </c>
      <c r="Q639" s="5">
        <v>1037</v>
      </c>
      <c r="R639" s="2"/>
      <c r="T639" s="2"/>
    </row>
    <row r="640" spans="1:20" x14ac:dyDescent="0.2">
      <c r="A640" s="103"/>
      <c r="B640" s="28" t="s">
        <v>662</v>
      </c>
      <c r="C640" s="22" t="s">
        <v>820</v>
      </c>
      <c r="D640" s="2" t="s">
        <v>837</v>
      </c>
      <c r="E640" s="5">
        <v>907118</v>
      </c>
      <c r="F640" s="2" t="b">
        <v>0</v>
      </c>
      <c r="G640" s="5">
        <v>2348</v>
      </c>
      <c r="H640" s="2" t="s">
        <v>819</v>
      </c>
      <c r="I640" s="5">
        <v>8207</v>
      </c>
      <c r="J640" s="2" t="b">
        <v>0</v>
      </c>
      <c r="K640" s="5">
        <v>28580</v>
      </c>
      <c r="L640" s="4" t="s">
        <v>833</v>
      </c>
      <c r="M640" s="5">
        <v>901324</v>
      </c>
      <c r="N640" s="2" t="s">
        <v>823</v>
      </c>
      <c r="O640" s="5">
        <v>48176</v>
      </c>
      <c r="P640" s="2" t="s">
        <v>838</v>
      </c>
      <c r="Q640" s="5">
        <v>1095</v>
      </c>
      <c r="R640" s="2"/>
      <c r="T640" s="2"/>
    </row>
    <row r="641" spans="1:20" x14ac:dyDescent="0.2">
      <c r="A641" s="103"/>
      <c r="B641" s="28" t="s">
        <v>661</v>
      </c>
      <c r="C641" s="61" t="s">
        <v>818</v>
      </c>
      <c r="D641" s="2" t="s">
        <v>818</v>
      </c>
      <c r="E641" s="5">
        <v>7557</v>
      </c>
      <c r="F641" s="2" t="s">
        <v>883</v>
      </c>
      <c r="G641" s="5">
        <v>131002</v>
      </c>
      <c r="H641" s="2" t="s">
        <v>819</v>
      </c>
      <c r="I641" s="5">
        <v>22074</v>
      </c>
      <c r="J641" s="2" t="s">
        <v>833</v>
      </c>
      <c r="K641" s="5">
        <v>900453</v>
      </c>
      <c r="L641" s="4" t="s">
        <v>833</v>
      </c>
      <c r="M641" s="5">
        <v>905309</v>
      </c>
      <c r="N641" s="2" t="s">
        <v>822</v>
      </c>
      <c r="O641" s="5">
        <v>276</v>
      </c>
      <c r="P641" s="2" t="s">
        <v>838</v>
      </c>
      <c r="Q641" s="5">
        <v>1231</v>
      </c>
      <c r="R641" s="2"/>
      <c r="T641" s="2"/>
    </row>
    <row r="642" spans="1:20" x14ac:dyDescent="0.2">
      <c r="A642" s="103"/>
      <c r="B642" s="48" t="s">
        <v>660</v>
      </c>
      <c r="C642" s="81" t="s">
        <v>820</v>
      </c>
      <c r="D642" s="2" t="s">
        <v>819</v>
      </c>
      <c r="E642" s="5">
        <v>1906</v>
      </c>
      <c r="F642" s="2" t="b">
        <v>1</v>
      </c>
      <c r="G642" s="5">
        <v>5963</v>
      </c>
      <c r="H642" s="2" t="s">
        <v>819</v>
      </c>
      <c r="I642" s="5">
        <v>4669</v>
      </c>
      <c r="J642" s="2" t="s">
        <v>833</v>
      </c>
      <c r="K642" s="5">
        <v>97319</v>
      </c>
      <c r="L642" s="4" t="s">
        <v>833</v>
      </c>
      <c r="M642" s="5">
        <v>7042</v>
      </c>
      <c r="N642" s="2" t="s">
        <v>823</v>
      </c>
      <c r="O642" s="5">
        <v>1455</v>
      </c>
      <c r="P642" s="2" t="s">
        <v>838</v>
      </c>
      <c r="Q642" s="5">
        <v>950</v>
      </c>
      <c r="R642" s="2"/>
      <c r="T642" s="2" t="s">
        <v>815</v>
      </c>
    </row>
    <row r="643" spans="1:20" x14ac:dyDescent="0.2">
      <c r="A643" s="103"/>
      <c r="B643" s="48" t="s">
        <v>659</v>
      </c>
      <c r="C643" s="22" t="s">
        <v>819</v>
      </c>
      <c r="D643" s="2" t="s">
        <v>819</v>
      </c>
      <c r="E643" s="5">
        <v>3071</v>
      </c>
      <c r="F643" s="2" t="s">
        <v>883</v>
      </c>
      <c r="G643" s="5">
        <v>121896</v>
      </c>
      <c r="H643" s="2" t="s">
        <v>819</v>
      </c>
      <c r="I643" s="5">
        <v>4716</v>
      </c>
      <c r="J643" s="2" t="s">
        <v>833</v>
      </c>
      <c r="K643" s="5">
        <v>53347</v>
      </c>
      <c r="L643" s="4" t="s">
        <v>833</v>
      </c>
      <c r="M643" s="5">
        <v>14869</v>
      </c>
      <c r="N643" s="2" t="s">
        <v>823</v>
      </c>
      <c r="O643" s="5">
        <v>548</v>
      </c>
      <c r="P643" s="2" t="s">
        <v>838</v>
      </c>
      <c r="Q643" s="5">
        <v>1064</v>
      </c>
      <c r="R643" s="2"/>
      <c r="S643" s="85"/>
      <c r="T643" s="2" t="s">
        <v>815</v>
      </c>
    </row>
    <row r="644" spans="1:20" x14ac:dyDescent="0.2">
      <c r="A644" s="103"/>
      <c r="B644" s="48" t="s">
        <v>658</v>
      </c>
      <c r="C644" s="22" t="s">
        <v>819</v>
      </c>
      <c r="D644" s="2" t="s">
        <v>819</v>
      </c>
      <c r="E644" s="5">
        <v>4273</v>
      </c>
      <c r="F644" s="2" t="s">
        <v>883</v>
      </c>
      <c r="G644" s="5">
        <v>121932</v>
      </c>
      <c r="H644" s="2" t="s">
        <v>819</v>
      </c>
      <c r="I644" s="5">
        <v>7247</v>
      </c>
      <c r="J644" s="2" t="s">
        <v>833</v>
      </c>
      <c r="K644" s="5">
        <v>41793</v>
      </c>
      <c r="L644" s="4" t="s">
        <v>833</v>
      </c>
      <c r="M644" s="5">
        <v>15524</v>
      </c>
      <c r="N644" s="2" t="s">
        <v>823</v>
      </c>
      <c r="O644" s="5">
        <v>443</v>
      </c>
      <c r="P644" s="2" t="s">
        <v>838</v>
      </c>
      <c r="Q644" s="5">
        <v>1242</v>
      </c>
      <c r="R644" s="2"/>
      <c r="T644" s="2" t="s">
        <v>815</v>
      </c>
    </row>
    <row r="645" spans="1:20" x14ac:dyDescent="0.2">
      <c r="A645" s="103"/>
      <c r="B645" s="28" t="s">
        <v>657</v>
      </c>
      <c r="C645" s="22" t="s">
        <v>819</v>
      </c>
      <c r="D645" s="2" t="s">
        <v>837</v>
      </c>
      <c r="E645" s="5">
        <v>901154</v>
      </c>
      <c r="F645" s="2" t="s">
        <v>883</v>
      </c>
      <c r="G645" s="5">
        <v>130672</v>
      </c>
      <c r="H645" s="2" t="s">
        <v>838</v>
      </c>
      <c r="I645" s="5">
        <v>53993</v>
      </c>
      <c r="J645" s="2" t="s">
        <v>833</v>
      </c>
      <c r="K645" s="5">
        <v>900304</v>
      </c>
      <c r="L645" s="4" t="s">
        <v>833</v>
      </c>
      <c r="M645" s="5">
        <v>905116</v>
      </c>
      <c r="N645" s="2" t="s">
        <v>822</v>
      </c>
      <c r="O645" s="5">
        <v>9016</v>
      </c>
      <c r="P645" s="2" t="s">
        <v>838</v>
      </c>
      <c r="Q645" s="5">
        <v>1054</v>
      </c>
      <c r="R645" s="2"/>
      <c r="T645" s="2"/>
    </row>
    <row r="646" spans="1:20" x14ac:dyDescent="0.2">
      <c r="A646" s="103"/>
      <c r="B646" s="48" t="s">
        <v>656</v>
      </c>
      <c r="C646" s="22" t="s">
        <v>819</v>
      </c>
      <c r="D646" s="2" t="s">
        <v>819</v>
      </c>
      <c r="E646" s="5">
        <v>2005</v>
      </c>
      <c r="F646" s="2" t="s">
        <v>883</v>
      </c>
      <c r="G646" s="5">
        <v>121910</v>
      </c>
      <c r="H646" s="2" t="s">
        <v>819</v>
      </c>
      <c r="I646" s="5">
        <v>6114</v>
      </c>
      <c r="J646" s="2" t="s">
        <v>833</v>
      </c>
      <c r="K646" s="5">
        <v>48690</v>
      </c>
      <c r="L646" s="4" t="s">
        <v>833</v>
      </c>
      <c r="M646" s="5">
        <v>7141</v>
      </c>
      <c r="N646" s="2" t="s">
        <v>821</v>
      </c>
      <c r="O646" s="5">
        <v>900336</v>
      </c>
      <c r="P646" s="2" t="s">
        <v>838</v>
      </c>
      <c r="Q646" s="5">
        <v>1181</v>
      </c>
      <c r="R646" s="2"/>
      <c r="T646" s="2" t="s">
        <v>815</v>
      </c>
    </row>
    <row r="647" spans="1:20" x14ac:dyDescent="0.2">
      <c r="A647" s="103"/>
      <c r="B647" s="28" t="s">
        <v>655</v>
      </c>
      <c r="C647" s="22" t="s">
        <v>818</v>
      </c>
      <c r="D647" s="2" t="s">
        <v>818</v>
      </c>
      <c r="E647" s="5">
        <v>813</v>
      </c>
      <c r="F647" s="2" t="b">
        <v>1</v>
      </c>
      <c r="G647" s="5">
        <v>83404</v>
      </c>
      <c r="H647" s="2" t="s">
        <v>818</v>
      </c>
      <c r="I647" s="5">
        <v>15647</v>
      </c>
      <c r="J647" s="2" t="s">
        <v>833</v>
      </c>
      <c r="K647" s="5">
        <v>900342</v>
      </c>
      <c r="L647" s="4" t="s">
        <v>837</v>
      </c>
      <c r="M647" s="5">
        <v>912037</v>
      </c>
      <c r="N647" s="2" t="s">
        <v>822</v>
      </c>
      <c r="O647" s="5">
        <v>270</v>
      </c>
      <c r="P647" s="2" t="s">
        <v>838</v>
      </c>
      <c r="Q647" s="5">
        <v>848</v>
      </c>
      <c r="R647" s="2"/>
      <c r="T647" s="2"/>
    </row>
    <row r="648" spans="1:20" x14ac:dyDescent="0.2">
      <c r="A648" s="103"/>
      <c r="B648" s="28" t="s">
        <v>654</v>
      </c>
      <c r="C648" s="22" t="s">
        <v>818</v>
      </c>
      <c r="D648" s="2" t="s">
        <v>818</v>
      </c>
      <c r="E648" s="5">
        <v>1002</v>
      </c>
      <c r="F648" s="2" t="s">
        <v>883</v>
      </c>
      <c r="G648" s="5">
        <v>127261</v>
      </c>
      <c r="H648" s="2" t="s">
        <v>818</v>
      </c>
      <c r="I648" s="5">
        <v>24957</v>
      </c>
      <c r="J648" s="2" t="s">
        <v>833</v>
      </c>
      <c r="K648" s="5">
        <v>900416</v>
      </c>
      <c r="L648" s="4" t="s">
        <v>837</v>
      </c>
      <c r="M648" s="5">
        <v>912091</v>
      </c>
      <c r="N648" s="2" t="s">
        <v>822</v>
      </c>
      <c r="O648" s="5">
        <v>9597</v>
      </c>
      <c r="P648" s="2" t="s">
        <v>838</v>
      </c>
      <c r="Q648" s="5">
        <v>892</v>
      </c>
      <c r="R648" s="2"/>
      <c r="T648" s="2"/>
    </row>
    <row r="649" spans="1:20" x14ac:dyDescent="0.2">
      <c r="A649" s="103"/>
      <c r="B649" s="28" t="s">
        <v>653</v>
      </c>
      <c r="C649" s="22" t="s">
        <v>818</v>
      </c>
      <c r="D649" s="2" t="s">
        <v>818</v>
      </c>
      <c r="E649" s="5">
        <v>485</v>
      </c>
      <c r="F649" s="2" t="b">
        <v>1</v>
      </c>
      <c r="G649" s="5">
        <v>83044</v>
      </c>
      <c r="H649" s="2" t="s">
        <v>818</v>
      </c>
      <c r="I649" s="5">
        <v>14833</v>
      </c>
      <c r="J649" s="2" t="s">
        <v>833</v>
      </c>
      <c r="K649" s="5">
        <v>900380</v>
      </c>
      <c r="L649" s="4" t="s">
        <v>837</v>
      </c>
      <c r="M649" s="5">
        <v>912094</v>
      </c>
      <c r="N649" s="2" t="s">
        <v>822</v>
      </c>
      <c r="O649" s="5">
        <v>397</v>
      </c>
      <c r="P649" s="2" t="s">
        <v>838</v>
      </c>
      <c r="Q649" s="5">
        <v>1077</v>
      </c>
      <c r="R649" s="2"/>
      <c r="T649" s="2"/>
    </row>
    <row r="650" spans="1:20" x14ac:dyDescent="0.2">
      <c r="A650" s="103"/>
      <c r="B650" s="28" t="s">
        <v>652</v>
      </c>
      <c r="C650" s="22" t="s">
        <v>820</v>
      </c>
      <c r="D650" s="2" t="s">
        <v>820</v>
      </c>
      <c r="E650" s="5">
        <v>660</v>
      </c>
      <c r="F650" s="2" t="b">
        <v>0</v>
      </c>
      <c r="G650" s="5">
        <v>2186</v>
      </c>
      <c r="H650" s="2" t="s">
        <v>838</v>
      </c>
      <c r="I650" s="5">
        <v>13820</v>
      </c>
      <c r="J650" s="2" t="b">
        <v>0</v>
      </c>
      <c r="K650" s="5">
        <v>2581</v>
      </c>
      <c r="L650" s="4" t="s">
        <v>838</v>
      </c>
      <c r="M650" s="5">
        <v>7108</v>
      </c>
      <c r="N650" s="2" t="s">
        <v>823</v>
      </c>
      <c r="O650" s="5">
        <v>606</v>
      </c>
      <c r="P650" s="2" t="s">
        <v>838</v>
      </c>
      <c r="Q650" s="5">
        <v>1463</v>
      </c>
      <c r="R650" s="2"/>
      <c r="T650" s="2"/>
    </row>
    <row r="651" spans="1:20" x14ac:dyDescent="0.2">
      <c r="A651" s="103"/>
      <c r="B651" s="44" t="s">
        <v>651</v>
      </c>
      <c r="C651" s="22" t="s">
        <v>818</v>
      </c>
      <c r="D651" s="75" t="s">
        <v>818</v>
      </c>
      <c r="E651" s="5">
        <v>1309</v>
      </c>
      <c r="F651" s="2" t="b">
        <v>1</v>
      </c>
      <c r="G651" s="5">
        <v>1525</v>
      </c>
      <c r="H651" s="2" t="s">
        <v>818</v>
      </c>
      <c r="I651" s="5">
        <v>7051</v>
      </c>
      <c r="J651" s="2" t="b">
        <v>1</v>
      </c>
      <c r="K651" s="5">
        <v>2940</v>
      </c>
      <c r="L651" s="4" t="s">
        <v>838</v>
      </c>
      <c r="M651" s="5">
        <v>3783</v>
      </c>
      <c r="N651" s="2" t="s">
        <v>876</v>
      </c>
      <c r="O651" s="5">
        <v>303</v>
      </c>
      <c r="P651" s="2" t="s">
        <v>818</v>
      </c>
      <c r="Q651" s="5">
        <v>1551</v>
      </c>
      <c r="R651" s="2" t="s">
        <v>812</v>
      </c>
    </row>
    <row r="652" spans="1:20" x14ac:dyDescent="0.2">
      <c r="A652" s="103"/>
      <c r="B652" s="44" t="s">
        <v>650</v>
      </c>
      <c r="C652" s="22" t="s">
        <v>820</v>
      </c>
      <c r="D652" s="75" t="s">
        <v>820</v>
      </c>
      <c r="E652" s="5">
        <v>1282</v>
      </c>
      <c r="F652" s="2" t="s">
        <v>883</v>
      </c>
      <c r="G652" s="5">
        <v>121520</v>
      </c>
      <c r="H652" s="2" t="s">
        <v>838</v>
      </c>
      <c r="I652" s="5">
        <v>135493</v>
      </c>
      <c r="J652" s="2" t="b">
        <v>0</v>
      </c>
      <c r="K652" s="5">
        <v>2770</v>
      </c>
      <c r="L652" s="4" t="s">
        <v>838</v>
      </c>
      <c r="M652" s="5">
        <v>3771</v>
      </c>
      <c r="N652" s="2" t="s">
        <v>876</v>
      </c>
      <c r="O652" s="5">
        <v>307</v>
      </c>
      <c r="P652" s="2" t="s">
        <v>818</v>
      </c>
      <c r="Q652" s="5">
        <v>1261</v>
      </c>
      <c r="R652" s="2" t="s">
        <v>812</v>
      </c>
    </row>
    <row r="653" spans="1:20" x14ac:dyDescent="0.2">
      <c r="A653" s="103"/>
      <c r="B653" s="28" t="s">
        <v>649</v>
      </c>
      <c r="C653" s="22" t="s">
        <v>820</v>
      </c>
      <c r="D653" s="2" t="s">
        <v>820</v>
      </c>
      <c r="E653" s="5">
        <v>59708</v>
      </c>
      <c r="F653" s="2" t="b">
        <v>0</v>
      </c>
      <c r="G653" s="5">
        <v>2275</v>
      </c>
      <c r="H653" s="2" t="s">
        <v>837</v>
      </c>
      <c r="I653" s="5">
        <v>900183</v>
      </c>
      <c r="J653" s="2" t="b">
        <v>0</v>
      </c>
      <c r="K653" s="5">
        <v>11226</v>
      </c>
      <c r="L653" s="4" t="s">
        <v>838</v>
      </c>
      <c r="M653" s="5">
        <v>71652</v>
      </c>
      <c r="N653" s="2" t="s">
        <v>821</v>
      </c>
      <c r="O653" s="5">
        <v>900266</v>
      </c>
      <c r="P653" s="2" t="s">
        <v>838</v>
      </c>
      <c r="Q653" s="5">
        <v>874</v>
      </c>
      <c r="R653" s="2"/>
      <c r="T653" s="2"/>
    </row>
    <row r="654" spans="1:20" x14ac:dyDescent="0.2">
      <c r="A654" s="103"/>
      <c r="B654" s="48" t="s">
        <v>648</v>
      </c>
      <c r="C654" s="81" t="s">
        <v>820</v>
      </c>
      <c r="D654" s="2" t="s">
        <v>819</v>
      </c>
      <c r="E654" s="5">
        <v>4254</v>
      </c>
      <c r="F654" s="2" t="b">
        <v>0</v>
      </c>
      <c r="G654" s="5">
        <v>3850</v>
      </c>
      <c r="H654" s="2" t="s">
        <v>819</v>
      </c>
      <c r="I654" s="5">
        <v>3676</v>
      </c>
      <c r="J654" s="2" t="s">
        <v>833</v>
      </c>
      <c r="K654" s="5">
        <v>43778</v>
      </c>
      <c r="L654" s="4" t="s">
        <v>833</v>
      </c>
      <c r="M654" s="5">
        <v>25863</v>
      </c>
      <c r="N654" s="2" t="s">
        <v>823</v>
      </c>
      <c r="O654" s="5">
        <v>529</v>
      </c>
      <c r="P654" s="2" t="s">
        <v>838</v>
      </c>
      <c r="Q654" s="5">
        <v>1259</v>
      </c>
      <c r="R654" s="2"/>
      <c r="T654" s="2" t="s">
        <v>815</v>
      </c>
    </row>
    <row r="655" spans="1:20" x14ac:dyDescent="0.2">
      <c r="A655" s="103"/>
      <c r="B655" s="48" t="s">
        <v>647</v>
      </c>
      <c r="C655" s="22" t="s">
        <v>819</v>
      </c>
      <c r="D655" s="2" t="s">
        <v>819</v>
      </c>
      <c r="E655" s="5">
        <v>2407</v>
      </c>
      <c r="F655" s="2" t="s">
        <v>883</v>
      </c>
      <c r="G655" s="5">
        <v>122160</v>
      </c>
      <c r="H655" s="2" t="s">
        <v>819</v>
      </c>
      <c r="I655" s="5">
        <v>5367</v>
      </c>
      <c r="J655" s="2" t="s">
        <v>833</v>
      </c>
      <c r="K655" s="5">
        <v>900383</v>
      </c>
      <c r="L655" s="4" t="s">
        <v>833</v>
      </c>
      <c r="M655" s="5">
        <v>5150</v>
      </c>
      <c r="N655" s="2" t="s">
        <v>823</v>
      </c>
      <c r="O655" s="5">
        <v>531</v>
      </c>
      <c r="P655" s="2" t="s">
        <v>838</v>
      </c>
      <c r="Q655" s="5">
        <v>914</v>
      </c>
      <c r="R655" s="2"/>
      <c r="S655" s="85"/>
      <c r="T655" s="2" t="s">
        <v>815</v>
      </c>
    </row>
    <row r="656" spans="1:20" x14ac:dyDescent="0.2">
      <c r="A656" s="103"/>
      <c r="B656" s="48" t="s">
        <v>646</v>
      </c>
      <c r="C656" s="22" t="s">
        <v>819</v>
      </c>
      <c r="D656" s="2" t="s">
        <v>819</v>
      </c>
      <c r="E656" s="5">
        <v>5219</v>
      </c>
      <c r="F656" s="2" t="s">
        <v>883</v>
      </c>
      <c r="G656" s="5">
        <v>122649</v>
      </c>
      <c r="H656" s="2" t="s">
        <v>819</v>
      </c>
      <c r="I656" s="5">
        <v>12974</v>
      </c>
      <c r="J656" s="2" t="s">
        <v>833</v>
      </c>
      <c r="K656" s="5">
        <v>900429</v>
      </c>
      <c r="L656" s="4" t="s">
        <v>833</v>
      </c>
      <c r="M656" s="5">
        <v>5250</v>
      </c>
      <c r="N656" s="2" t="s">
        <v>823</v>
      </c>
      <c r="O656" s="5">
        <v>503</v>
      </c>
      <c r="P656" s="2" t="s">
        <v>838</v>
      </c>
      <c r="Q656" s="5">
        <v>1130</v>
      </c>
      <c r="R656" s="2"/>
      <c r="S656" s="85"/>
      <c r="T656" s="2" t="s">
        <v>815</v>
      </c>
    </row>
    <row r="657" spans="1:20" x14ac:dyDescent="0.2">
      <c r="A657" s="103"/>
      <c r="B657" s="48" t="s">
        <v>645</v>
      </c>
      <c r="C657" s="61" t="s">
        <v>818</v>
      </c>
      <c r="D657" s="2" t="s">
        <v>819</v>
      </c>
      <c r="E657" s="5">
        <v>2559</v>
      </c>
      <c r="F657" s="2" t="b">
        <v>0</v>
      </c>
      <c r="G657" s="5">
        <v>3701</v>
      </c>
      <c r="H657" s="2" t="s">
        <v>819</v>
      </c>
      <c r="I657" s="5">
        <v>4784</v>
      </c>
      <c r="J657" s="2" t="s">
        <v>833</v>
      </c>
      <c r="K657" s="5">
        <v>900346</v>
      </c>
      <c r="L657" s="4" t="s">
        <v>833</v>
      </c>
      <c r="M657" s="5">
        <v>24120</v>
      </c>
      <c r="N657" s="2" t="s">
        <v>876</v>
      </c>
      <c r="O657" s="5">
        <v>3175</v>
      </c>
      <c r="P657" s="2" t="s">
        <v>838</v>
      </c>
      <c r="Q657" s="5">
        <v>884</v>
      </c>
      <c r="R657" s="2"/>
      <c r="T657" s="2" t="s">
        <v>815</v>
      </c>
    </row>
    <row r="658" spans="1:20" x14ac:dyDescent="0.2">
      <c r="A658" s="103"/>
      <c r="B658" s="48" t="s">
        <v>644</v>
      </c>
      <c r="C658" s="22" t="s">
        <v>819</v>
      </c>
      <c r="D658" s="2" t="s">
        <v>819</v>
      </c>
      <c r="E658" s="5">
        <v>5035</v>
      </c>
      <c r="F658" s="2" t="s">
        <v>883</v>
      </c>
      <c r="G658" s="5">
        <v>121919</v>
      </c>
      <c r="H658" s="2" t="s">
        <v>819</v>
      </c>
      <c r="I658" s="5">
        <v>8618</v>
      </c>
      <c r="J658" s="2" t="s">
        <v>833</v>
      </c>
      <c r="K658" s="5">
        <v>62111</v>
      </c>
      <c r="L658" s="4" t="s">
        <v>833</v>
      </c>
      <c r="M658" s="5">
        <v>22044</v>
      </c>
      <c r="N658" s="2" t="s">
        <v>821</v>
      </c>
      <c r="O658" s="5">
        <v>900245</v>
      </c>
      <c r="P658" s="2" t="s">
        <v>838</v>
      </c>
      <c r="Q658" s="5">
        <v>957</v>
      </c>
      <c r="R658" s="2"/>
      <c r="T658" s="2" t="s">
        <v>815</v>
      </c>
    </row>
    <row r="659" spans="1:20" x14ac:dyDescent="0.2">
      <c r="A659" s="103"/>
      <c r="B659" s="28" t="s">
        <v>643</v>
      </c>
      <c r="C659" s="22" t="s">
        <v>820</v>
      </c>
      <c r="D659" s="2" t="s">
        <v>820</v>
      </c>
      <c r="E659" s="5">
        <v>74601</v>
      </c>
      <c r="F659" s="2" t="b">
        <v>0</v>
      </c>
      <c r="G659" s="5">
        <v>2295</v>
      </c>
      <c r="H659" s="64" t="s">
        <v>838</v>
      </c>
      <c r="I659" s="5">
        <v>83100</v>
      </c>
      <c r="J659" s="2" t="b">
        <v>0</v>
      </c>
      <c r="K659" s="5">
        <v>3493</v>
      </c>
      <c r="L659" s="4" t="s">
        <v>833</v>
      </c>
      <c r="M659" s="5">
        <v>9494</v>
      </c>
      <c r="N659" s="2" t="s">
        <v>822</v>
      </c>
      <c r="O659" s="5">
        <v>263</v>
      </c>
      <c r="P659" s="2" t="s">
        <v>838</v>
      </c>
      <c r="Q659" s="5">
        <v>823</v>
      </c>
      <c r="R659" s="2"/>
      <c r="S659" s="85"/>
      <c r="T659" s="2"/>
    </row>
    <row r="660" spans="1:20" x14ac:dyDescent="0.2">
      <c r="A660" s="103"/>
      <c r="B660" s="28" t="s">
        <v>642</v>
      </c>
      <c r="C660" s="22" t="s">
        <v>820</v>
      </c>
      <c r="D660" s="2" t="s">
        <v>837</v>
      </c>
      <c r="E660" s="5">
        <v>906074</v>
      </c>
      <c r="F660" s="2" t="b">
        <v>0</v>
      </c>
      <c r="G660" s="5">
        <v>3026</v>
      </c>
      <c r="H660" s="2" t="s">
        <v>837</v>
      </c>
      <c r="I660" s="5">
        <v>900174</v>
      </c>
      <c r="J660" s="2" t="b">
        <v>0</v>
      </c>
      <c r="K660" s="5">
        <v>21936</v>
      </c>
      <c r="L660" s="4" t="s">
        <v>833</v>
      </c>
      <c r="M660" s="5">
        <v>904174</v>
      </c>
      <c r="N660" s="2" t="s">
        <v>822</v>
      </c>
      <c r="O660" s="5">
        <v>242</v>
      </c>
      <c r="P660" s="2" t="s">
        <v>838</v>
      </c>
      <c r="Q660" s="5">
        <v>890</v>
      </c>
      <c r="R660" s="2"/>
      <c r="S660" s="85"/>
      <c r="T660" s="2"/>
    </row>
    <row r="661" spans="1:20" x14ac:dyDescent="0.2">
      <c r="A661" s="103"/>
      <c r="B661" s="28" t="s">
        <v>641</v>
      </c>
      <c r="C661" s="81" t="s">
        <v>820</v>
      </c>
      <c r="D661" s="2" t="s">
        <v>837</v>
      </c>
      <c r="E661" s="5">
        <v>910019</v>
      </c>
      <c r="F661" s="2" t="b">
        <v>0</v>
      </c>
      <c r="G661" s="5">
        <v>4738</v>
      </c>
      <c r="H661" s="2" t="s">
        <v>837</v>
      </c>
      <c r="I661" s="5">
        <v>900167</v>
      </c>
      <c r="J661" s="2" t="s">
        <v>833</v>
      </c>
      <c r="K661" s="5">
        <v>903580</v>
      </c>
      <c r="L661" s="4" t="s">
        <v>833</v>
      </c>
      <c r="M661" s="5">
        <v>902808</v>
      </c>
      <c r="N661" s="2" t="s">
        <v>822</v>
      </c>
      <c r="O661" s="5">
        <v>244</v>
      </c>
      <c r="P661" s="2" t="s">
        <v>838</v>
      </c>
      <c r="Q661" s="5">
        <v>929</v>
      </c>
      <c r="R661" s="2"/>
      <c r="S661" s="85"/>
      <c r="T661" s="2"/>
    </row>
    <row r="662" spans="1:20" x14ac:dyDescent="0.2">
      <c r="A662" s="103"/>
      <c r="B662" s="28" t="s">
        <v>640</v>
      </c>
      <c r="C662" s="81" t="s">
        <v>820</v>
      </c>
      <c r="D662" s="2" t="s">
        <v>837</v>
      </c>
      <c r="E662" s="5">
        <v>904124</v>
      </c>
      <c r="F662" s="2" t="b">
        <v>0</v>
      </c>
      <c r="G662" s="5">
        <v>6100</v>
      </c>
      <c r="H662" s="2" t="s">
        <v>837</v>
      </c>
      <c r="I662" s="5">
        <v>900182</v>
      </c>
      <c r="J662" s="2" t="s">
        <v>833</v>
      </c>
      <c r="K662" s="5">
        <v>904458</v>
      </c>
      <c r="L662" s="4" t="s">
        <v>833</v>
      </c>
      <c r="M662" s="5">
        <v>904485</v>
      </c>
      <c r="N662" s="2" t="s">
        <v>822</v>
      </c>
      <c r="O662" s="5">
        <v>247</v>
      </c>
      <c r="P662" s="2" t="s">
        <v>838</v>
      </c>
      <c r="Q662" s="5">
        <v>886</v>
      </c>
      <c r="R662" s="2"/>
      <c r="S662" s="85"/>
      <c r="T662" s="2"/>
    </row>
    <row r="663" spans="1:20" x14ac:dyDescent="0.2">
      <c r="A663" s="103"/>
      <c r="B663" s="28" t="s">
        <v>639</v>
      </c>
      <c r="C663" s="22" t="s">
        <v>820</v>
      </c>
      <c r="D663" s="2" t="s">
        <v>820</v>
      </c>
      <c r="E663" s="5">
        <v>9294</v>
      </c>
      <c r="F663" s="2" t="b">
        <v>0</v>
      </c>
      <c r="G663" s="5">
        <v>2192</v>
      </c>
      <c r="H663" s="64" t="s">
        <v>838</v>
      </c>
      <c r="I663" s="5">
        <v>61338</v>
      </c>
      <c r="J663" s="2" t="b">
        <v>0</v>
      </c>
      <c r="K663" s="5">
        <v>6763</v>
      </c>
      <c r="L663" s="4" t="s">
        <v>833</v>
      </c>
      <c r="M663" s="5">
        <v>16677</v>
      </c>
      <c r="N663" s="2" t="s">
        <v>822</v>
      </c>
      <c r="O663" s="5">
        <v>238</v>
      </c>
      <c r="P663" s="2" t="s">
        <v>838</v>
      </c>
      <c r="Q663" s="5">
        <v>1215</v>
      </c>
      <c r="R663" s="2"/>
      <c r="T663" s="2"/>
    </row>
    <row r="664" spans="1:20" x14ac:dyDescent="0.2">
      <c r="A664" s="103"/>
      <c r="B664" s="28" t="s">
        <v>638</v>
      </c>
      <c r="C664" s="22" t="s">
        <v>820</v>
      </c>
      <c r="D664" s="2" t="s">
        <v>837</v>
      </c>
      <c r="E664" s="5">
        <v>905313</v>
      </c>
      <c r="F664" s="2" t="b">
        <v>0</v>
      </c>
      <c r="G664" s="5">
        <v>3093</v>
      </c>
      <c r="H664" s="2" t="s">
        <v>837</v>
      </c>
      <c r="I664" s="5">
        <v>900196</v>
      </c>
      <c r="J664" s="2" t="b">
        <v>0</v>
      </c>
      <c r="K664" s="5">
        <v>12524</v>
      </c>
      <c r="L664" s="4" t="s">
        <v>833</v>
      </c>
      <c r="M664" s="5">
        <v>902108</v>
      </c>
      <c r="N664" s="2" t="s">
        <v>822</v>
      </c>
      <c r="O664" s="5">
        <v>268</v>
      </c>
      <c r="P664" s="2" t="s">
        <v>838</v>
      </c>
      <c r="Q664" s="5">
        <v>1172</v>
      </c>
      <c r="R664" s="2"/>
      <c r="T664" s="2"/>
    </row>
    <row r="665" spans="1:20" x14ac:dyDescent="0.2">
      <c r="A665" s="103"/>
      <c r="B665" s="28" t="s">
        <v>637</v>
      </c>
      <c r="C665" s="81" t="s">
        <v>820</v>
      </c>
      <c r="D665" s="2" t="s">
        <v>837</v>
      </c>
      <c r="E665" s="5">
        <v>907020</v>
      </c>
      <c r="F665" s="2" t="b">
        <v>0</v>
      </c>
      <c r="G665" s="5">
        <v>4849</v>
      </c>
      <c r="H665" s="2" t="s">
        <v>837</v>
      </c>
      <c r="I665" s="5">
        <v>900182</v>
      </c>
      <c r="J665" s="2" t="s">
        <v>833</v>
      </c>
      <c r="K665" s="5">
        <v>903275</v>
      </c>
      <c r="L665" s="4" t="s">
        <v>833</v>
      </c>
      <c r="M665" s="5">
        <v>902695</v>
      </c>
      <c r="N665" s="2" t="s">
        <v>822</v>
      </c>
      <c r="O665" s="5">
        <v>293</v>
      </c>
      <c r="P665" s="2" t="s">
        <v>838</v>
      </c>
      <c r="Q665" s="5">
        <v>907</v>
      </c>
      <c r="R665" s="2"/>
      <c r="T665" s="2"/>
    </row>
    <row r="666" spans="1:20" x14ac:dyDescent="0.2">
      <c r="A666" s="103"/>
      <c r="B666" s="28" t="s">
        <v>636</v>
      </c>
      <c r="C666" s="81" t="s">
        <v>820</v>
      </c>
      <c r="D666" s="2" t="s">
        <v>837</v>
      </c>
      <c r="E666" s="5">
        <v>902854</v>
      </c>
      <c r="F666" s="2" t="b">
        <v>0</v>
      </c>
      <c r="G666" s="5">
        <v>6412</v>
      </c>
      <c r="H666" s="2" t="s">
        <v>837</v>
      </c>
      <c r="I666" s="5">
        <v>900172</v>
      </c>
      <c r="J666" s="2" t="s">
        <v>833</v>
      </c>
      <c r="K666" s="5">
        <v>904482</v>
      </c>
      <c r="L666" s="4" t="s">
        <v>833</v>
      </c>
      <c r="M666" s="5">
        <v>904397</v>
      </c>
      <c r="N666" s="2" t="s">
        <v>822</v>
      </c>
      <c r="O666" s="5">
        <v>266</v>
      </c>
      <c r="P666" s="2" t="s">
        <v>838</v>
      </c>
      <c r="Q666" s="5">
        <v>975</v>
      </c>
      <c r="R666" s="2"/>
      <c r="T666" s="2"/>
    </row>
    <row r="667" spans="1:20" s="8" customFormat="1" ht="21" thickBot="1" x14ac:dyDescent="0.25">
      <c r="A667" s="104"/>
      <c r="B667" s="49" t="s">
        <v>635</v>
      </c>
      <c r="C667" s="62" t="s">
        <v>820</v>
      </c>
      <c r="D667" s="9" t="s">
        <v>819</v>
      </c>
      <c r="E667" s="7">
        <v>2559</v>
      </c>
      <c r="F667" s="6" t="s">
        <v>883</v>
      </c>
      <c r="G667" s="7">
        <v>121862</v>
      </c>
      <c r="H667" s="9" t="s">
        <v>819</v>
      </c>
      <c r="I667" s="7">
        <v>16295</v>
      </c>
      <c r="J667" s="9" t="b">
        <v>0</v>
      </c>
      <c r="K667" s="7">
        <v>13836</v>
      </c>
      <c r="L667" s="6" t="s">
        <v>833</v>
      </c>
      <c r="M667" s="7">
        <v>19660</v>
      </c>
      <c r="N667" s="9" t="s">
        <v>823</v>
      </c>
      <c r="O667" s="7">
        <v>663</v>
      </c>
      <c r="P667" s="9" t="s">
        <v>838</v>
      </c>
      <c r="Q667" s="7">
        <v>876</v>
      </c>
      <c r="R667" s="9"/>
      <c r="S667" s="86"/>
      <c r="T667" s="9" t="s">
        <v>815</v>
      </c>
    </row>
    <row r="668" spans="1:20" x14ac:dyDescent="0.2">
      <c r="A668" s="102" t="s">
        <v>736</v>
      </c>
      <c r="B668" s="28" t="s">
        <v>627</v>
      </c>
      <c r="C668" s="22" t="s">
        <v>818</v>
      </c>
      <c r="D668" s="2" t="s">
        <v>818</v>
      </c>
      <c r="E668" s="5">
        <v>2249</v>
      </c>
      <c r="F668" s="2" t="b">
        <v>0</v>
      </c>
      <c r="G668" s="5">
        <v>2736</v>
      </c>
      <c r="H668" s="2" t="s">
        <v>818</v>
      </c>
      <c r="I668" s="5">
        <v>13522</v>
      </c>
      <c r="J668" s="2" t="b">
        <v>1</v>
      </c>
      <c r="K668" s="5">
        <v>3005</v>
      </c>
      <c r="L668" s="4" t="b">
        <v>1</v>
      </c>
      <c r="M668" s="5">
        <v>7996</v>
      </c>
      <c r="N668" s="2" t="s">
        <v>823</v>
      </c>
      <c r="O668" s="5">
        <v>387</v>
      </c>
      <c r="P668" s="2" t="s">
        <v>818</v>
      </c>
      <c r="Q668" s="5">
        <v>3620</v>
      </c>
      <c r="R668" s="2"/>
      <c r="T668" s="2"/>
    </row>
    <row r="669" spans="1:20" x14ac:dyDescent="0.2">
      <c r="A669" s="103"/>
      <c r="B669" s="28" t="s">
        <v>626</v>
      </c>
      <c r="C669" s="22" t="s">
        <v>818</v>
      </c>
      <c r="D669" s="2" t="s">
        <v>837</v>
      </c>
      <c r="E669" s="5">
        <v>901360</v>
      </c>
      <c r="F669" s="2" t="b">
        <v>1</v>
      </c>
      <c r="G669" s="5">
        <v>186706</v>
      </c>
      <c r="H669" s="2" t="s">
        <v>838</v>
      </c>
      <c r="I669" s="5">
        <v>25797</v>
      </c>
      <c r="J669" s="2" t="b">
        <v>1</v>
      </c>
      <c r="K669" s="5">
        <v>4192</v>
      </c>
      <c r="L669" s="4" t="b">
        <v>1</v>
      </c>
      <c r="M669" s="5">
        <v>408226</v>
      </c>
      <c r="N669" s="2" t="s">
        <v>823</v>
      </c>
      <c r="O669" s="5">
        <v>646</v>
      </c>
      <c r="P669" s="2" t="s">
        <v>818</v>
      </c>
      <c r="Q669" s="5">
        <v>275581</v>
      </c>
      <c r="R669" s="2"/>
      <c r="T669" s="2"/>
    </row>
    <row r="670" spans="1:20" x14ac:dyDescent="0.2">
      <c r="A670" s="103"/>
      <c r="B670" s="28" t="s">
        <v>624</v>
      </c>
      <c r="C670" s="22" t="s">
        <v>818</v>
      </c>
      <c r="D670" s="2" t="s">
        <v>818</v>
      </c>
      <c r="E670" s="5">
        <v>61706</v>
      </c>
      <c r="F670" s="2" t="b">
        <v>1</v>
      </c>
      <c r="G670" s="5">
        <v>189037</v>
      </c>
      <c r="H670" s="2" t="s">
        <v>819</v>
      </c>
      <c r="I670" s="5">
        <v>6835</v>
      </c>
      <c r="J670" s="2" t="b">
        <v>1</v>
      </c>
      <c r="K670" s="5">
        <v>5951</v>
      </c>
      <c r="L670" s="66" t="s">
        <v>837</v>
      </c>
      <c r="M670" s="5">
        <v>911826</v>
      </c>
      <c r="N670" s="2" t="s">
        <v>823</v>
      </c>
      <c r="O670" s="5">
        <v>462</v>
      </c>
      <c r="P670" s="2" t="s">
        <v>818</v>
      </c>
      <c r="Q670" s="5">
        <v>10939</v>
      </c>
      <c r="R670" s="2"/>
      <c r="T670" s="2"/>
    </row>
    <row r="671" spans="1:20" x14ac:dyDescent="0.2">
      <c r="A671" s="103"/>
      <c r="B671" s="28" t="s">
        <v>623</v>
      </c>
      <c r="C671" s="22" t="s">
        <v>818</v>
      </c>
      <c r="D671" s="2" t="s">
        <v>837</v>
      </c>
      <c r="E671" s="5">
        <v>901412</v>
      </c>
      <c r="F671" s="2" t="b">
        <v>1</v>
      </c>
      <c r="G671" s="5">
        <v>190806</v>
      </c>
      <c r="H671" s="2" t="s">
        <v>838</v>
      </c>
      <c r="I671" s="5">
        <v>34742</v>
      </c>
      <c r="J671" s="2" t="b">
        <v>1</v>
      </c>
      <c r="K671" s="5">
        <v>3770</v>
      </c>
      <c r="L671" s="4" t="b">
        <v>1</v>
      </c>
      <c r="M671" s="5">
        <v>9949</v>
      </c>
      <c r="N671" s="2" t="s">
        <v>823</v>
      </c>
      <c r="O671" s="5">
        <v>578</v>
      </c>
      <c r="P671" s="2" t="s">
        <v>837</v>
      </c>
      <c r="Q671" s="5">
        <v>910098</v>
      </c>
      <c r="R671" s="2"/>
      <c r="T671" s="2"/>
    </row>
    <row r="672" spans="1:20" x14ac:dyDescent="0.2">
      <c r="A672" s="103"/>
      <c r="B672" s="28" t="s">
        <v>622</v>
      </c>
      <c r="C672" s="22" t="s">
        <v>818</v>
      </c>
      <c r="D672" s="2" t="s">
        <v>818</v>
      </c>
      <c r="E672" s="5">
        <v>5747</v>
      </c>
      <c r="F672" s="2" t="b">
        <v>1</v>
      </c>
      <c r="G672" s="5">
        <v>184839</v>
      </c>
      <c r="H672" s="2" t="s">
        <v>818</v>
      </c>
      <c r="I672" s="5">
        <v>8278</v>
      </c>
      <c r="J672" s="2" t="b">
        <v>1</v>
      </c>
      <c r="K672" s="5">
        <v>3191</v>
      </c>
      <c r="L672" s="4" t="b">
        <v>1</v>
      </c>
      <c r="M672" s="5">
        <v>7564</v>
      </c>
      <c r="N672" s="2" t="s">
        <v>876</v>
      </c>
      <c r="O672" s="5">
        <v>350</v>
      </c>
      <c r="P672" s="2" t="s">
        <v>818</v>
      </c>
      <c r="Q672" s="5">
        <v>11186</v>
      </c>
      <c r="R672" s="2"/>
      <c r="T672" s="2"/>
    </row>
    <row r="673" spans="1:20" x14ac:dyDescent="0.2">
      <c r="A673" s="103"/>
      <c r="B673" s="28" t="s">
        <v>620</v>
      </c>
      <c r="C673" s="22" t="s">
        <v>818</v>
      </c>
      <c r="D673" s="2" t="s">
        <v>818</v>
      </c>
      <c r="E673" s="5">
        <v>430448</v>
      </c>
      <c r="F673" s="2" t="s">
        <v>883</v>
      </c>
      <c r="G673" s="5">
        <v>302565</v>
      </c>
      <c r="H673" s="2" t="s">
        <v>819</v>
      </c>
      <c r="I673" s="5">
        <v>6204</v>
      </c>
      <c r="J673" s="2" t="b">
        <v>1</v>
      </c>
      <c r="K673" s="5">
        <v>5684</v>
      </c>
      <c r="L673" s="4" t="b">
        <v>1</v>
      </c>
      <c r="M673" s="5">
        <v>12559</v>
      </c>
      <c r="N673" s="2" t="s">
        <v>823</v>
      </c>
      <c r="O673" s="5">
        <v>760</v>
      </c>
      <c r="P673" s="2" t="s">
        <v>837</v>
      </c>
      <c r="Q673" s="5">
        <v>910095</v>
      </c>
      <c r="R673" s="2"/>
      <c r="T673" s="2"/>
    </row>
    <row r="674" spans="1:20" x14ac:dyDescent="0.2">
      <c r="A674" s="103"/>
      <c r="B674" s="28" t="s">
        <v>619</v>
      </c>
      <c r="C674" s="22" t="s">
        <v>818</v>
      </c>
      <c r="D674" s="2" t="s">
        <v>818</v>
      </c>
      <c r="E674" s="5">
        <v>819</v>
      </c>
      <c r="F674" s="2" t="b">
        <v>1</v>
      </c>
      <c r="G674" s="5">
        <v>184904</v>
      </c>
      <c r="H674" s="2" t="s">
        <v>838</v>
      </c>
      <c r="I674" s="5">
        <v>32266</v>
      </c>
      <c r="J674" s="2" t="b">
        <v>1</v>
      </c>
      <c r="K674" s="5">
        <v>3546</v>
      </c>
      <c r="L674" s="4" t="b">
        <v>1</v>
      </c>
      <c r="M674" s="5">
        <v>8004</v>
      </c>
      <c r="N674" s="2" t="s">
        <v>876</v>
      </c>
      <c r="O674" s="5">
        <v>341</v>
      </c>
      <c r="P674" s="2" t="s">
        <v>818</v>
      </c>
      <c r="Q674" s="5">
        <v>5373</v>
      </c>
      <c r="R674" s="2"/>
      <c r="T674" s="2"/>
    </row>
    <row r="675" spans="1:20" x14ac:dyDescent="0.2">
      <c r="A675" s="103"/>
      <c r="B675" s="28" t="s">
        <v>618</v>
      </c>
      <c r="C675" s="22" t="s">
        <v>818</v>
      </c>
      <c r="D675" s="2" t="s">
        <v>818</v>
      </c>
      <c r="E675" s="5">
        <v>560271</v>
      </c>
      <c r="F675" s="2" t="b">
        <v>1</v>
      </c>
      <c r="G675" s="5">
        <v>191154</v>
      </c>
      <c r="H675" s="2" t="s">
        <v>838</v>
      </c>
      <c r="I675" s="5">
        <v>69823</v>
      </c>
      <c r="J675" s="2" t="b">
        <v>1</v>
      </c>
      <c r="K675" s="5">
        <v>5588</v>
      </c>
      <c r="L675" s="66" t="s">
        <v>837</v>
      </c>
      <c r="M675" s="5">
        <v>911831</v>
      </c>
      <c r="N675" s="2" t="s">
        <v>823</v>
      </c>
      <c r="O675" s="5">
        <v>1997</v>
      </c>
      <c r="P675" s="2" t="s">
        <v>837</v>
      </c>
      <c r="Q675" s="5">
        <v>910077</v>
      </c>
      <c r="R675" s="2"/>
      <c r="T675" s="2"/>
    </row>
    <row r="676" spans="1:20" x14ac:dyDescent="0.2">
      <c r="A676" s="103"/>
      <c r="B676" s="28" t="s">
        <v>616</v>
      </c>
      <c r="C676" s="22" t="s">
        <v>818</v>
      </c>
      <c r="D676" s="2" t="s">
        <v>818</v>
      </c>
      <c r="E676" s="5">
        <v>538</v>
      </c>
      <c r="F676" s="2" t="b">
        <v>1</v>
      </c>
      <c r="G676" s="5">
        <v>182305</v>
      </c>
      <c r="H676" s="2" t="s">
        <v>818</v>
      </c>
      <c r="I676" s="5">
        <v>4735</v>
      </c>
      <c r="J676" s="2" t="b">
        <v>1</v>
      </c>
      <c r="K676" s="5">
        <v>2482</v>
      </c>
      <c r="L676" s="4" t="b">
        <v>1</v>
      </c>
      <c r="M676" s="5">
        <v>5956</v>
      </c>
      <c r="N676" s="2" t="s">
        <v>876</v>
      </c>
      <c r="O676" s="5">
        <v>309</v>
      </c>
      <c r="P676" s="2" t="s">
        <v>818</v>
      </c>
      <c r="Q676" s="5">
        <v>2499</v>
      </c>
      <c r="R676" s="2"/>
      <c r="T676" s="2"/>
    </row>
    <row r="677" spans="1:20" x14ac:dyDescent="0.2">
      <c r="A677" s="103"/>
      <c r="B677" s="28" t="s">
        <v>615</v>
      </c>
      <c r="C677" s="22" t="s">
        <v>818</v>
      </c>
      <c r="D677" s="2" t="s">
        <v>837</v>
      </c>
      <c r="E677" s="5">
        <v>900468</v>
      </c>
      <c r="F677" s="2" t="b">
        <v>1</v>
      </c>
      <c r="G677" s="5">
        <v>183945</v>
      </c>
      <c r="H677" s="2" t="s">
        <v>818</v>
      </c>
      <c r="I677" s="5">
        <v>17348</v>
      </c>
      <c r="J677" s="2" t="s">
        <v>833</v>
      </c>
      <c r="K677" s="5">
        <v>900338</v>
      </c>
      <c r="L677" s="4" t="s">
        <v>837</v>
      </c>
      <c r="M677" s="5">
        <v>911818</v>
      </c>
      <c r="N677" s="2" t="s">
        <v>823</v>
      </c>
      <c r="O677" s="5">
        <v>897</v>
      </c>
      <c r="P677" s="2" t="s">
        <v>837</v>
      </c>
      <c r="Q677" s="5">
        <v>910064</v>
      </c>
      <c r="R677" s="2"/>
      <c r="T677" s="2"/>
    </row>
    <row r="678" spans="1:20" x14ac:dyDescent="0.2">
      <c r="A678" s="103"/>
      <c r="B678" s="28" t="s">
        <v>614</v>
      </c>
      <c r="C678" s="22" t="s">
        <v>818</v>
      </c>
      <c r="D678" s="2" t="s">
        <v>818</v>
      </c>
      <c r="E678" s="5">
        <v>693</v>
      </c>
      <c r="F678" s="2" t="b">
        <v>1</v>
      </c>
      <c r="G678" s="5">
        <v>64889</v>
      </c>
      <c r="H678" s="2" t="s">
        <v>818</v>
      </c>
      <c r="I678" s="5">
        <v>11466</v>
      </c>
      <c r="J678" s="2" t="b">
        <v>1</v>
      </c>
      <c r="K678" s="5">
        <v>2854</v>
      </c>
      <c r="L678" s="4" t="b">
        <v>1</v>
      </c>
      <c r="M678" s="5">
        <v>7118</v>
      </c>
      <c r="N678" s="2" t="s">
        <v>823</v>
      </c>
      <c r="O678" s="5">
        <v>2443</v>
      </c>
      <c r="P678" s="2" t="s">
        <v>818</v>
      </c>
      <c r="Q678" s="5">
        <v>4861</v>
      </c>
      <c r="R678" s="2"/>
      <c r="T678" s="2"/>
    </row>
    <row r="679" spans="1:20" x14ac:dyDescent="0.2">
      <c r="A679" s="103"/>
      <c r="B679" s="28" t="s">
        <v>612</v>
      </c>
      <c r="C679" s="22" t="s">
        <v>818</v>
      </c>
      <c r="D679" s="2" t="s">
        <v>818</v>
      </c>
      <c r="E679" s="5">
        <v>1295</v>
      </c>
      <c r="F679" s="2" t="b">
        <v>1</v>
      </c>
      <c r="G679" s="5">
        <v>183894</v>
      </c>
      <c r="H679" s="2" t="s">
        <v>837</v>
      </c>
      <c r="I679" s="5">
        <v>900169</v>
      </c>
      <c r="J679" s="2" t="b">
        <v>1</v>
      </c>
      <c r="K679" s="5">
        <v>5359</v>
      </c>
      <c r="L679" s="4" t="b">
        <v>1</v>
      </c>
      <c r="M679" s="5">
        <v>8704</v>
      </c>
      <c r="N679" s="2" t="s">
        <v>823</v>
      </c>
      <c r="O679" s="5">
        <v>1069</v>
      </c>
      <c r="P679" s="2" t="s">
        <v>818</v>
      </c>
      <c r="Q679" s="5">
        <v>25654</v>
      </c>
      <c r="R679" s="2"/>
      <c r="T679" s="2"/>
    </row>
    <row r="680" spans="1:20" x14ac:dyDescent="0.2">
      <c r="A680" s="103"/>
      <c r="B680" s="28" t="s">
        <v>610</v>
      </c>
      <c r="C680" s="22" t="s">
        <v>818</v>
      </c>
      <c r="D680" s="2" t="s">
        <v>818</v>
      </c>
      <c r="E680" s="5">
        <v>767</v>
      </c>
      <c r="F680" s="2" t="b">
        <v>1</v>
      </c>
      <c r="G680" s="5">
        <v>182947</v>
      </c>
      <c r="H680" s="2" t="s">
        <v>818</v>
      </c>
      <c r="I680" s="5">
        <v>6806</v>
      </c>
      <c r="J680" s="2" t="b">
        <v>1</v>
      </c>
      <c r="K680" s="5">
        <v>3405</v>
      </c>
      <c r="L680" s="4" t="s">
        <v>833</v>
      </c>
      <c r="M680" s="5">
        <v>10568</v>
      </c>
      <c r="N680" s="2" t="s">
        <v>876</v>
      </c>
      <c r="O680" s="5">
        <v>347</v>
      </c>
      <c r="P680" s="2" t="s">
        <v>818</v>
      </c>
      <c r="Q680" s="5">
        <v>4639</v>
      </c>
      <c r="R680" s="2"/>
      <c r="T680" s="2"/>
    </row>
    <row r="681" spans="1:20" x14ac:dyDescent="0.2">
      <c r="A681" s="103"/>
      <c r="B681" s="28" t="s">
        <v>609</v>
      </c>
      <c r="C681" s="22" t="s">
        <v>818</v>
      </c>
      <c r="D681" s="2" t="s">
        <v>818</v>
      </c>
      <c r="E681" s="5">
        <v>772</v>
      </c>
      <c r="F681" s="2" t="b">
        <v>1</v>
      </c>
      <c r="G681" s="5">
        <v>184678</v>
      </c>
      <c r="H681" s="2" t="s">
        <v>818</v>
      </c>
      <c r="I681" s="5">
        <v>8792</v>
      </c>
      <c r="J681" s="2" t="b">
        <v>1</v>
      </c>
      <c r="K681" s="5">
        <v>4379</v>
      </c>
      <c r="L681" s="4" t="b">
        <v>1</v>
      </c>
      <c r="M681" s="5">
        <v>9130</v>
      </c>
      <c r="N681" s="2" t="s">
        <v>876</v>
      </c>
      <c r="O681" s="5">
        <v>363</v>
      </c>
      <c r="P681" s="2" t="s">
        <v>818</v>
      </c>
      <c r="Q681" s="5">
        <v>25905</v>
      </c>
      <c r="R681" s="2"/>
      <c r="T681" s="2"/>
    </row>
    <row r="682" spans="1:20" x14ac:dyDescent="0.2">
      <c r="A682" s="103"/>
      <c r="B682" s="28" t="s">
        <v>608</v>
      </c>
      <c r="C682" s="22" t="s">
        <v>818</v>
      </c>
      <c r="D682" s="2" t="s">
        <v>818</v>
      </c>
      <c r="E682" s="5">
        <v>466</v>
      </c>
      <c r="F682" s="2" t="b">
        <v>1</v>
      </c>
      <c r="G682" s="5">
        <v>182336</v>
      </c>
      <c r="H682" s="2" t="s">
        <v>818</v>
      </c>
      <c r="I682" s="5">
        <v>7222</v>
      </c>
      <c r="J682" s="2" t="b">
        <v>1</v>
      </c>
      <c r="K682" s="5">
        <v>3556</v>
      </c>
      <c r="L682" s="4" t="s">
        <v>833</v>
      </c>
      <c r="M682" s="5">
        <v>5850</v>
      </c>
      <c r="N682" s="2" t="s">
        <v>876</v>
      </c>
      <c r="O682" s="5">
        <v>294</v>
      </c>
      <c r="P682" s="2" t="s">
        <v>818</v>
      </c>
      <c r="Q682" s="5">
        <v>2384</v>
      </c>
      <c r="R682" s="2"/>
      <c r="T682" s="2"/>
    </row>
    <row r="683" spans="1:20" x14ac:dyDescent="0.2">
      <c r="A683" s="103"/>
      <c r="B683" s="28" t="s">
        <v>607</v>
      </c>
      <c r="C683" s="22" t="s">
        <v>818</v>
      </c>
      <c r="D683" s="2" t="s">
        <v>818</v>
      </c>
      <c r="E683" s="5">
        <v>1007</v>
      </c>
      <c r="F683" s="2" t="b">
        <v>1</v>
      </c>
      <c r="G683" s="5">
        <v>182916</v>
      </c>
      <c r="H683" s="2" t="s">
        <v>838</v>
      </c>
      <c r="I683" s="5">
        <v>5627</v>
      </c>
      <c r="J683" s="2" t="b">
        <v>1</v>
      </c>
      <c r="K683" s="5">
        <v>9027</v>
      </c>
      <c r="L683" s="4" t="b">
        <v>1</v>
      </c>
      <c r="M683" s="5">
        <v>6354</v>
      </c>
      <c r="N683" s="2" t="s">
        <v>876</v>
      </c>
      <c r="O683" s="5">
        <v>421</v>
      </c>
      <c r="P683" s="2" t="s">
        <v>818</v>
      </c>
      <c r="Q683" s="5">
        <v>4930</v>
      </c>
      <c r="R683" s="2"/>
      <c r="T683" s="2"/>
    </row>
    <row r="684" spans="1:20" x14ac:dyDescent="0.2">
      <c r="A684" s="103"/>
      <c r="B684" s="28" t="s">
        <v>606</v>
      </c>
      <c r="C684" s="22" t="s">
        <v>818</v>
      </c>
      <c r="D684" s="2" t="s">
        <v>818</v>
      </c>
      <c r="E684" s="5">
        <v>927</v>
      </c>
      <c r="F684" s="2" t="b">
        <v>1</v>
      </c>
      <c r="G684" s="5">
        <v>182909</v>
      </c>
      <c r="H684" s="2" t="s">
        <v>818</v>
      </c>
      <c r="I684" s="5">
        <v>8080</v>
      </c>
      <c r="J684" s="2" t="b">
        <v>1</v>
      </c>
      <c r="K684" s="5">
        <v>4007</v>
      </c>
      <c r="L684" s="4" t="s">
        <v>837</v>
      </c>
      <c r="M684" s="5">
        <v>911780</v>
      </c>
      <c r="N684" s="2" t="s">
        <v>876</v>
      </c>
      <c r="O684" s="5">
        <v>313</v>
      </c>
      <c r="P684" s="2" t="s">
        <v>818</v>
      </c>
      <c r="Q684" s="5">
        <v>9926</v>
      </c>
      <c r="R684" s="2"/>
      <c r="T684" s="2"/>
    </row>
    <row r="685" spans="1:20" x14ac:dyDescent="0.2">
      <c r="A685" s="103"/>
      <c r="B685" s="28" t="s">
        <v>605</v>
      </c>
      <c r="C685" s="22" t="s">
        <v>818</v>
      </c>
      <c r="D685" s="2" t="s">
        <v>818</v>
      </c>
      <c r="E685" s="5">
        <v>1438</v>
      </c>
      <c r="F685" s="2" t="b">
        <v>1</v>
      </c>
      <c r="G685" s="5">
        <v>182800</v>
      </c>
      <c r="H685" s="2" t="s">
        <v>818</v>
      </c>
      <c r="I685" s="5">
        <v>6516</v>
      </c>
      <c r="J685" s="2" t="b">
        <v>1</v>
      </c>
      <c r="K685" s="5">
        <v>3343</v>
      </c>
      <c r="L685" s="4" t="b">
        <v>1</v>
      </c>
      <c r="M685" s="5">
        <v>7149</v>
      </c>
      <c r="N685" s="2" t="s">
        <v>876</v>
      </c>
      <c r="O685" s="5">
        <v>364</v>
      </c>
      <c r="P685" s="2" t="s">
        <v>818</v>
      </c>
      <c r="Q685" s="5">
        <v>29376</v>
      </c>
      <c r="R685" s="2"/>
      <c r="T685" s="2"/>
    </row>
    <row r="686" spans="1:20" x14ac:dyDescent="0.2">
      <c r="A686" s="103"/>
      <c r="B686" s="28" t="s">
        <v>604</v>
      </c>
      <c r="C686" s="22" t="s">
        <v>818</v>
      </c>
      <c r="D686" s="2" t="s">
        <v>818</v>
      </c>
      <c r="E686" s="5">
        <v>593</v>
      </c>
      <c r="F686" s="2" t="b">
        <v>1</v>
      </c>
      <c r="G686" s="5">
        <v>182367</v>
      </c>
      <c r="H686" s="2" t="s">
        <v>837</v>
      </c>
      <c r="I686" s="5">
        <v>900197</v>
      </c>
      <c r="J686" s="2" t="b">
        <v>1</v>
      </c>
      <c r="K686" s="5">
        <v>3746</v>
      </c>
      <c r="L686" s="4" t="b">
        <v>1</v>
      </c>
      <c r="M686" s="5">
        <v>7114</v>
      </c>
      <c r="N686" s="2" t="s">
        <v>876</v>
      </c>
      <c r="O686" s="5">
        <v>332</v>
      </c>
      <c r="P686" s="2" t="s">
        <v>818</v>
      </c>
      <c r="Q686" s="5">
        <v>5633</v>
      </c>
      <c r="R686" s="2"/>
      <c r="T686" s="2"/>
    </row>
    <row r="687" spans="1:20" x14ac:dyDescent="0.2">
      <c r="A687" s="103"/>
      <c r="B687" s="28" t="s">
        <v>599</v>
      </c>
      <c r="C687" s="22" t="s">
        <v>818</v>
      </c>
      <c r="D687" s="2" t="s">
        <v>818</v>
      </c>
      <c r="E687" s="5">
        <v>444</v>
      </c>
      <c r="F687" s="2" t="b">
        <v>1</v>
      </c>
      <c r="G687" s="5">
        <v>182457</v>
      </c>
      <c r="H687" s="2" t="s">
        <v>818</v>
      </c>
      <c r="I687" s="5">
        <v>8853</v>
      </c>
      <c r="J687" s="2" t="b">
        <v>1</v>
      </c>
      <c r="K687" s="5">
        <v>3273</v>
      </c>
      <c r="L687" s="4" t="s">
        <v>837</v>
      </c>
      <c r="M687" s="5">
        <v>911798</v>
      </c>
      <c r="N687" s="2" t="s">
        <v>876</v>
      </c>
      <c r="O687" s="5">
        <v>481</v>
      </c>
      <c r="P687" s="2" t="s">
        <v>818</v>
      </c>
      <c r="Q687" s="5">
        <v>4416</v>
      </c>
      <c r="R687" s="2"/>
      <c r="T687" s="2"/>
    </row>
    <row r="688" spans="1:20" x14ac:dyDescent="0.2">
      <c r="A688" s="103"/>
      <c r="B688" s="28" t="s">
        <v>762</v>
      </c>
      <c r="C688" s="22" t="s">
        <v>818</v>
      </c>
      <c r="D688" s="2" t="s">
        <v>818</v>
      </c>
      <c r="E688" s="5">
        <v>454</v>
      </c>
      <c r="F688" s="2" t="b">
        <v>1</v>
      </c>
      <c r="G688" s="5">
        <v>67627</v>
      </c>
      <c r="H688" s="2" t="s">
        <v>838</v>
      </c>
      <c r="I688" s="5">
        <v>17307</v>
      </c>
      <c r="J688" s="2" t="b">
        <v>1</v>
      </c>
      <c r="K688" s="5">
        <v>2888</v>
      </c>
      <c r="L688" s="4" t="b">
        <v>1</v>
      </c>
      <c r="M688" s="5">
        <v>6919</v>
      </c>
      <c r="N688" s="2" t="s">
        <v>876</v>
      </c>
      <c r="O688" s="5">
        <v>420</v>
      </c>
      <c r="P688" s="2" t="s">
        <v>818</v>
      </c>
      <c r="Q688" s="5">
        <v>1896</v>
      </c>
      <c r="R688" s="2"/>
      <c r="T688" s="2"/>
    </row>
    <row r="689" spans="1:20" x14ac:dyDescent="0.2">
      <c r="A689" s="103"/>
      <c r="B689" s="28" t="s">
        <v>595</v>
      </c>
      <c r="C689" s="22" t="s">
        <v>818</v>
      </c>
      <c r="D689" s="2" t="s">
        <v>818</v>
      </c>
      <c r="E689" s="5">
        <v>641</v>
      </c>
      <c r="F689" s="2" t="b">
        <v>1</v>
      </c>
      <c r="G689" s="5">
        <v>182430</v>
      </c>
      <c r="H689" s="2" t="s">
        <v>818</v>
      </c>
      <c r="I689" s="5">
        <v>17416</v>
      </c>
      <c r="J689" s="2" t="b">
        <v>1</v>
      </c>
      <c r="K689" s="5">
        <v>4761</v>
      </c>
      <c r="L689" s="4" t="s">
        <v>833</v>
      </c>
      <c r="M689" s="5">
        <v>5862</v>
      </c>
      <c r="N689" s="2" t="s">
        <v>823</v>
      </c>
      <c r="O689" s="5">
        <v>375</v>
      </c>
      <c r="P689" s="2" t="s">
        <v>818</v>
      </c>
      <c r="Q689" s="5">
        <v>2340</v>
      </c>
      <c r="R689" s="2"/>
      <c r="T689" s="2"/>
    </row>
    <row r="690" spans="1:20" x14ac:dyDescent="0.2">
      <c r="A690" s="103"/>
      <c r="B690" s="28" t="s">
        <v>594</v>
      </c>
      <c r="C690" s="22" t="s">
        <v>820</v>
      </c>
      <c r="D690" s="2" t="s">
        <v>820</v>
      </c>
      <c r="E690" s="5">
        <v>424</v>
      </c>
      <c r="F690" s="2" t="b">
        <v>0</v>
      </c>
      <c r="G690" s="5">
        <v>2060</v>
      </c>
      <c r="H690" s="2" t="s">
        <v>819</v>
      </c>
      <c r="I690" s="5">
        <v>12979</v>
      </c>
      <c r="J690" s="2" t="b">
        <v>0</v>
      </c>
      <c r="K690" s="5">
        <v>2314</v>
      </c>
      <c r="L690" s="4" t="s">
        <v>833</v>
      </c>
      <c r="M690" s="5">
        <v>901095</v>
      </c>
      <c r="N690" s="2" t="s">
        <v>823</v>
      </c>
      <c r="O690" s="5">
        <v>369</v>
      </c>
      <c r="P690" s="2" t="s">
        <v>820</v>
      </c>
      <c r="Q690" s="5">
        <v>2375</v>
      </c>
      <c r="R690" s="2"/>
      <c r="T690" s="2"/>
    </row>
    <row r="691" spans="1:20" x14ac:dyDescent="0.2">
      <c r="A691" s="103"/>
      <c r="B691" s="28" t="s">
        <v>593</v>
      </c>
      <c r="C691" s="22" t="s">
        <v>818</v>
      </c>
      <c r="D691" s="2" t="s">
        <v>818</v>
      </c>
      <c r="E691" s="5">
        <v>1277</v>
      </c>
      <c r="F691" s="2" t="b">
        <v>1</v>
      </c>
      <c r="G691" s="5">
        <v>183179</v>
      </c>
      <c r="H691" s="2" t="s">
        <v>838</v>
      </c>
      <c r="I691" s="5">
        <v>64488</v>
      </c>
      <c r="J691" s="2" t="s">
        <v>833</v>
      </c>
      <c r="K691" s="5">
        <v>900345</v>
      </c>
      <c r="L691" s="4" t="b">
        <v>1</v>
      </c>
      <c r="M691" s="5">
        <v>22960</v>
      </c>
      <c r="N691" s="2" t="s">
        <v>823</v>
      </c>
      <c r="O691" s="5">
        <v>658</v>
      </c>
      <c r="P691" s="2" t="s">
        <v>818</v>
      </c>
      <c r="Q691" s="5">
        <v>6213</v>
      </c>
      <c r="R691" s="2"/>
      <c r="T691" s="2"/>
    </row>
    <row r="692" spans="1:20" x14ac:dyDescent="0.2">
      <c r="A692" s="103"/>
      <c r="B692" s="28" t="s">
        <v>588</v>
      </c>
      <c r="C692" s="22" t="s">
        <v>818</v>
      </c>
      <c r="D692" s="2" t="s">
        <v>818</v>
      </c>
      <c r="E692" s="5">
        <v>1362</v>
      </c>
      <c r="F692" s="2" t="b">
        <v>1</v>
      </c>
      <c r="G692" s="5">
        <v>185924</v>
      </c>
      <c r="H692" s="2" t="s">
        <v>818</v>
      </c>
      <c r="I692" s="5">
        <v>22818</v>
      </c>
      <c r="J692" s="2" t="b">
        <v>1</v>
      </c>
      <c r="K692" s="5">
        <v>3614</v>
      </c>
      <c r="L692" s="4" t="b">
        <v>1</v>
      </c>
      <c r="M692" s="5">
        <v>7960</v>
      </c>
      <c r="N692" s="2" t="s">
        <v>823</v>
      </c>
      <c r="O692" s="5">
        <v>468</v>
      </c>
      <c r="P692" s="2" t="s">
        <v>818</v>
      </c>
      <c r="Q692" s="5">
        <v>23665</v>
      </c>
      <c r="R692" s="2"/>
      <c r="T692" s="2"/>
    </row>
    <row r="693" spans="1:20" x14ac:dyDescent="0.2">
      <c r="A693" s="103"/>
      <c r="B693" s="28" t="s">
        <v>587</v>
      </c>
      <c r="C693" s="69" t="s">
        <v>818</v>
      </c>
      <c r="D693" s="2" t="s">
        <v>818</v>
      </c>
      <c r="E693" s="5">
        <v>38562</v>
      </c>
      <c r="F693" s="2" t="s">
        <v>883</v>
      </c>
      <c r="G693" s="5">
        <v>301773</v>
      </c>
      <c r="H693" s="2" t="s">
        <v>837</v>
      </c>
      <c r="I693" s="5">
        <v>910029</v>
      </c>
      <c r="J693" s="2" t="s">
        <v>833</v>
      </c>
      <c r="K693" s="5">
        <v>10567</v>
      </c>
      <c r="L693" s="4" t="s">
        <v>833</v>
      </c>
      <c r="M693" s="5">
        <v>901171</v>
      </c>
      <c r="N693" s="2" t="s">
        <v>823</v>
      </c>
      <c r="O693" s="5">
        <v>594</v>
      </c>
      <c r="P693" s="2" t="s">
        <v>837</v>
      </c>
      <c r="Q693" s="5">
        <v>910071</v>
      </c>
      <c r="R693" s="2"/>
      <c r="T693" s="2"/>
    </row>
    <row r="694" spans="1:20" x14ac:dyDescent="0.2">
      <c r="A694" s="103"/>
      <c r="B694" s="28" t="s">
        <v>586</v>
      </c>
      <c r="C694" s="22" t="s">
        <v>818</v>
      </c>
      <c r="D694" s="2" t="s">
        <v>818</v>
      </c>
      <c r="E694" s="5">
        <v>231189</v>
      </c>
      <c r="F694" s="2" t="b">
        <v>0</v>
      </c>
      <c r="G694" s="5">
        <v>2771</v>
      </c>
      <c r="H694" s="2" t="s">
        <v>837</v>
      </c>
      <c r="I694" s="5">
        <v>910032</v>
      </c>
      <c r="J694" s="2" t="b">
        <v>1</v>
      </c>
      <c r="K694" s="5">
        <v>6978</v>
      </c>
      <c r="L694" s="4" t="b">
        <v>1</v>
      </c>
      <c r="M694" s="5">
        <v>10731</v>
      </c>
      <c r="N694" s="2" t="s">
        <v>823</v>
      </c>
      <c r="O694" s="5">
        <v>777</v>
      </c>
      <c r="P694" s="2" t="s">
        <v>838</v>
      </c>
      <c r="Q694" s="5">
        <v>328883</v>
      </c>
      <c r="R694" s="2"/>
      <c r="T694" s="2"/>
    </row>
    <row r="695" spans="1:20" x14ac:dyDescent="0.2">
      <c r="A695" s="103"/>
      <c r="B695" s="28" t="s">
        <v>585</v>
      </c>
      <c r="C695" s="22" t="s">
        <v>818</v>
      </c>
      <c r="D695" s="2" t="s">
        <v>818</v>
      </c>
      <c r="E695" s="5">
        <v>11463</v>
      </c>
      <c r="F695" s="2" t="b">
        <v>0</v>
      </c>
      <c r="G695" s="5">
        <v>2035</v>
      </c>
      <c r="H695" s="2" t="s">
        <v>837</v>
      </c>
      <c r="I695" s="5">
        <v>900205</v>
      </c>
      <c r="J695" s="2" t="b">
        <v>1</v>
      </c>
      <c r="K695" s="5">
        <v>3273</v>
      </c>
      <c r="L695" s="4" t="b">
        <v>1</v>
      </c>
      <c r="M695" s="5">
        <v>7911</v>
      </c>
      <c r="N695" s="2" t="s">
        <v>823</v>
      </c>
      <c r="O695" s="5">
        <v>74050</v>
      </c>
      <c r="P695" s="2" t="s">
        <v>818</v>
      </c>
      <c r="Q695" s="5">
        <v>20396</v>
      </c>
      <c r="R695" s="2"/>
      <c r="T695" s="2"/>
    </row>
    <row r="696" spans="1:20" x14ac:dyDescent="0.2">
      <c r="A696" s="103"/>
      <c r="B696" s="28" t="s">
        <v>584</v>
      </c>
      <c r="C696" s="22" t="s">
        <v>818</v>
      </c>
      <c r="D696" s="2" t="s">
        <v>818</v>
      </c>
      <c r="E696" s="5">
        <v>461</v>
      </c>
      <c r="F696" s="2" t="b">
        <v>1</v>
      </c>
      <c r="G696" s="5">
        <v>65308</v>
      </c>
      <c r="H696" s="2" t="s">
        <v>818</v>
      </c>
      <c r="I696" s="5">
        <v>11056</v>
      </c>
      <c r="J696" s="2" t="b">
        <v>1</v>
      </c>
      <c r="K696" s="5">
        <v>2796</v>
      </c>
      <c r="L696" s="4" t="b">
        <v>1</v>
      </c>
      <c r="M696" s="5">
        <v>7046</v>
      </c>
      <c r="N696" s="2" t="s">
        <v>823</v>
      </c>
      <c r="O696" s="5">
        <v>3423</v>
      </c>
      <c r="P696" s="2" t="s">
        <v>818</v>
      </c>
      <c r="Q696" s="5">
        <v>3893</v>
      </c>
      <c r="R696" s="2"/>
      <c r="T696" s="2"/>
    </row>
    <row r="697" spans="1:20" x14ac:dyDescent="0.2">
      <c r="A697" s="103"/>
      <c r="B697" s="28" t="s">
        <v>580</v>
      </c>
      <c r="C697" s="22" t="s">
        <v>818</v>
      </c>
      <c r="D697" s="2" t="s">
        <v>818</v>
      </c>
      <c r="E697" s="5">
        <v>4507</v>
      </c>
      <c r="F697" s="2" t="b">
        <v>1</v>
      </c>
      <c r="G697" s="5">
        <v>90921</v>
      </c>
      <c r="H697" s="2" t="s">
        <v>818</v>
      </c>
      <c r="I697" s="5">
        <v>5272</v>
      </c>
      <c r="J697" s="2" t="b">
        <v>1</v>
      </c>
      <c r="K697" s="5">
        <v>3209</v>
      </c>
      <c r="L697" s="4" t="b">
        <v>1</v>
      </c>
      <c r="M697" s="5">
        <v>5820</v>
      </c>
      <c r="N697" s="2" t="s">
        <v>876</v>
      </c>
      <c r="O697" s="5">
        <v>308</v>
      </c>
      <c r="P697" s="2" t="s">
        <v>818</v>
      </c>
      <c r="Q697" s="5">
        <v>18313</v>
      </c>
      <c r="R697" s="2"/>
      <c r="T697" s="2"/>
    </row>
    <row r="698" spans="1:20" x14ac:dyDescent="0.2">
      <c r="A698" s="103"/>
      <c r="B698" s="28" t="s">
        <v>579</v>
      </c>
      <c r="C698" s="22" t="s">
        <v>818</v>
      </c>
      <c r="D698" s="2" t="s">
        <v>818</v>
      </c>
      <c r="E698" s="5">
        <v>4551</v>
      </c>
      <c r="F698" s="2" t="b">
        <v>1</v>
      </c>
      <c r="G698" s="5">
        <v>92779</v>
      </c>
      <c r="H698" s="2" t="s">
        <v>818</v>
      </c>
      <c r="I698" s="5">
        <v>2848</v>
      </c>
      <c r="J698" s="2" t="b">
        <v>1</v>
      </c>
      <c r="K698" s="5">
        <v>2570</v>
      </c>
      <c r="L698" s="4" t="b">
        <v>1</v>
      </c>
      <c r="M698" s="5">
        <v>5732</v>
      </c>
      <c r="N698" s="2" t="s">
        <v>823</v>
      </c>
      <c r="O698" s="5">
        <v>384</v>
      </c>
      <c r="P698" s="2" t="s">
        <v>818</v>
      </c>
      <c r="Q698" s="5">
        <v>6086</v>
      </c>
      <c r="R698" s="2"/>
      <c r="T698" s="2"/>
    </row>
    <row r="699" spans="1:20" x14ac:dyDescent="0.2">
      <c r="A699" s="103"/>
      <c r="B699" s="28" t="s">
        <v>578</v>
      </c>
      <c r="C699" s="22" t="s">
        <v>818</v>
      </c>
      <c r="D699" s="2" t="s">
        <v>818</v>
      </c>
      <c r="E699" s="5">
        <v>4461</v>
      </c>
      <c r="F699" s="2" t="b">
        <v>0</v>
      </c>
      <c r="G699" s="5">
        <v>2070</v>
      </c>
      <c r="H699" s="2" t="s">
        <v>818</v>
      </c>
      <c r="I699" s="5">
        <v>4425</v>
      </c>
      <c r="J699" s="2" t="b">
        <v>1</v>
      </c>
      <c r="K699" s="5">
        <v>2707</v>
      </c>
      <c r="L699" s="4" t="b">
        <v>1</v>
      </c>
      <c r="M699" s="5">
        <v>5802</v>
      </c>
      <c r="N699" s="2" t="s">
        <v>823</v>
      </c>
      <c r="O699" s="5">
        <v>366</v>
      </c>
      <c r="P699" s="2" t="s">
        <v>818</v>
      </c>
      <c r="Q699" s="5">
        <v>6346</v>
      </c>
      <c r="R699" s="2"/>
      <c r="T699" s="2"/>
    </row>
    <row r="700" spans="1:20" x14ac:dyDescent="0.2">
      <c r="A700" s="103"/>
      <c r="B700" s="28" t="s">
        <v>577</v>
      </c>
      <c r="C700" s="22" t="s">
        <v>818</v>
      </c>
      <c r="D700" s="2" t="s">
        <v>818</v>
      </c>
      <c r="E700" s="5">
        <v>4469</v>
      </c>
      <c r="F700" s="2" t="b">
        <v>0</v>
      </c>
      <c r="G700" s="5">
        <v>1994</v>
      </c>
      <c r="H700" s="2" t="s">
        <v>818</v>
      </c>
      <c r="I700" s="5">
        <v>4495</v>
      </c>
      <c r="J700" s="2" t="b">
        <v>1</v>
      </c>
      <c r="K700" s="5">
        <v>2517</v>
      </c>
      <c r="L700" s="4" t="s">
        <v>833</v>
      </c>
      <c r="M700" s="5">
        <v>5728</v>
      </c>
      <c r="N700" s="2" t="s">
        <v>823</v>
      </c>
      <c r="O700" s="5">
        <v>389</v>
      </c>
      <c r="P700" s="2" t="s">
        <v>818</v>
      </c>
      <c r="Q700" s="5">
        <v>6102</v>
      </c>
      <c r="R700" s="2"/>
      <c r="T700" s="2"/>
    </row>
    <row r="701" spans="1:20" x14ac:dyDescent="0.2">
      <c r="A701" s="103"/>
      <c r="B701" s="28" t="s">
        <v>576</v>
      </c>
      <c r="C701" s="22" t="s">
        <v>818</v>
      </c>
      <c r="D701" s="2" t="s">
        <v>818</v>
      </c>
      <c r="E701" s="5">
        <v>758</v>
      </c>
      <c r="F701" s="2" t="b">
        <v>1</v>
      </c>
      <c r="G701" s="5">
        <v>182944</v>
      </c>
      <c r="H701" s="2" t="s">
        <v>818</v>
      </c>
      <c r="I701" s="5">
        <v>6734</v>
      </c>
      <c r="J701" s="2" t="b">
        <v>1</v>
      </c>
      <c r="K701" s="5">
        <v>2756</v>
      </c>
      <c r="L701" s="4" t="s">
        <v>833</v>
      </c>
      <c r="M701" s="5">
        <v>9443</v>
      </c>
      <c r="N701" s="2" t="s">
        <v>823</v>
      </c>
      <c r="O701" s="5">
        <v>456</v>
      </c>
      <c r="P701" s="2" t="s">
        <v>818</v>
      </c>
      <c r="Q701" s="5">
        <v>7430</v>
      </c>
      <c r="R701" s="2"/>
      <c r="T701" s="2"/>
    </row>
    <row r="702" spans="1:20" x14ac:dyDescent="0.2">
      <c r="A702" s="103"/>
      <c r="B702" s="28" t="s">
        <v>575</v>
      </c>
      <c r="C702" s="22" t="s">
        <v>820</v>
      </c>
      <c r="D702" s="2" t="s">
        <v>820</v>
      </c>
      <c r="E702" s="5">
        <v>534</v>
      </c>
      <c r="F702" s="2" t="s">
        <v>883</v>
      </c>
      <c r="G702" s="5">
        <v>301824</v>
      </c>
      <c r="H702" s="75" t="s">
        <v>820</v>
      </c>
      <c r="I702" s="5">
        <v>134240</v>
      </c>
      <c r="J702" s="2" t="b">
        <v>0</v>
      </c>
      <c r="K702" s="5">
        <v>2494</v>
      </c>
      <c r="L702" s="4" t="s">
        <v>833</v>
      </c>
      <c r="M702" s="5">
        <v>9397</v>
      </c>
      <c r="N702" s="2" t="s">
        <v>823</v>
      </c>
      <c r="O702" s="5">
        <v>474</v>
      </c>
      <c r="P702" s="2" t="s">
        <v>837</v>
      </c>
      <c r="Q702" s="5">
        <v>910086</v>
      </c>
      <c r="R702" s="2"/>
      <c r="T702" s="2"/>
    </row>
    <row r="703" spans="1:20" x14ac:dyDescent="0.2">
      <c r="A703" s="103"/>
      <c r="B703" s="28" t="s">
        <v>761</v>
      </c>
      <c r="C703" s="22" t="s">
        <v>820</v>
      </c>
      <c r="D703" s="2" t="s">
        <v>820</v>
      </c>
      <c r="E703" s="5">
        <v>439</v>
      </c>
      <c r="F703" s="2" t="b">
        <v>0</v>
      </c>
      <c r="G703" s="5">
        <v>1972</v>
      </c>
      <c r="H703" s="78" t="s">
        <v>820</v>
      </c>
      <c r="I703" s="5">
        <v>6947</v>
      </c>
      <c r="J703" s="2" t="b">
        <v>0</v>
      </c>
      <c r="K703" s="5">
        <v>2250</v>
      </c>
      <c r="L703" s="4" t="s">
        <v>833</v>
      </c>
      <c r="M703" s="5">
        <v>900947</v>
      </c>
      <c r="N703" s="2" t="s">
        <v>823</v>
      </c>
      <c r="O703" s="5">
        <v>389</v>
      </c>
      <c r="P703" s="2" t="s">
        <v>820</v>
      </c>
      <c r="Q703" s="5">
        <v>7113</v>
      </c>
      <c r="R703" s="2"/>
      <c r="T703" s="2"/>
    </row>
    <row r="704" spans="1:20" x14ac:dyDescent="0.2">
      <c r="A704" s="103"/>
      <c r="B704" s="28" t="s">
        <v>571</v>
      </c>
      <c r="C704" s="22" t="s">
        <v>818</v>
      </c>
      <c r="D704" s="2" t="s">
        <v>818</v>
      </c>
      <c r="E704" s="5">
        <v>415</v>
      </c>
      <c r="F704" s="2" t="b">
        <v>1</v>
      </c>
      <c r="G704" s="5">
        <v>44494</v>
      </c>
      <c r="H704" s="2" t="s">
        <v>818</v>
      </c>
      <c r="I704" s="5">
        <v>4838</v>
      </c>
      <c r="J704" s="2" t="b">
        <v>1</v>
      </c>
      <c r="K704" s="5">
        <v>2712</v>
      </c>
      <c r="L704" s="4" t="s">
        <v>833</v>
      </c>
      <c r="M704" s="5">
        <v>8631</v>
      </c>
      <c r="N704" s="2" t="s">
        <v>823</v>
      </c>
      <c r="O704" s="5">
        <v>526</v>
      </c>
      <c r="P704" s="2" t="s">
        <v>818</v>
      </c>
      <c r="Q704" s="5">
        <v>2607</v>
      </c>
      <c r="R704" s="2"/>
      <c r="T704" s="2"/>
    </row>
    <row r="705" spans="1:20" x14ac:dyDescent="0.2">
      <c r="A705" s="103"/>
      <c r="B705" s="28" t="s">
        <v>570</v>
      </c>
      <c r="C705" s="22" t="s">
        <v>818</v>
      </c>
      <c r="D705" s="2" t="s">
        <v>818</v>
      </c>
      <c r="E705" s="5">
        <v>625</v>
      </c>
      <c r="F705" s="2" t="b">
        <v>1</v>
      </c>
      <c r="G705" s="5">
        <v>183600</v>
      </c>
      <c r="H705" s="2" t="s">
        <v>837</v>
      </c>
      <c r="I705" s="5">
        <v>900810</v>
      </c>
      <c r="J705" s="2" t="b">
        <v>1</v>
      </c>
      <c r="K705" s="5">
        <v>2715</v>
      </c>
      <c r="L705" s="4" t="s">
        <v>833</v>
      </c>
      <c r="M705" s="5">
        <v>9263</v>
      </c>
      <c r="N705" s="2" t="s">
        <v>823</v>
      </c>
      <c r="O705" s="5">
        <v>527</v>
      </c>
      <c r="P705" s="2" t="s">
        <v>818</v>
      </c>
      <c r="Q705" s="5">
        <v>3952</v>
      </c>
      <c r="R705" s="2"/>
      <c r="T705" s="2"/>
    </row>
    <row r="706" spans="1:20" x14ac:dyDescent="0.2">
      <c r="A706" s="103"/>
      <c r="B706" s="28" t="s">
        <v>568</v>
      </c>
      <c r="C706" s="22" t="s">
        <v>818</v>
      </c>
      <c r="D706" s="2" t="s">
        <v>818</v>
      </c>
      <c r="E706" s="5">
        <v>434</v>
      </c>
      <c r="F706" s="2" t="b">
        <v>1</v>
      </c>
      <c r="G706" s="5">
        <v>182307</v>
      </c>
      <c r="H706" s="2" t="s">
        <v>818</v>
      </c>
      <c r="I706" s="5">
        <v>5200</v>
      </c>
      <c r="J706" s="2" t="b">
        <v>1</v>
      </c>
      <c r="K706" s="5">
        <v>2707</v>
      </c>
      <c r="L706" s="4" t="s">
        <v>833</v>
      </c>
      <c r="M706" s="5">
        <v>8130</v>
      </c>
      <c r="N706" s="2" t="s">
        <v>876</v>
      </c>
      <c r="O706" s="5">
        <v>321</v>
      </c>
      <c r="P706" s="2" t="s">
        <v>818</v>
      </c>
      <c r="Q706" s="5">
        <v>1748</v>
      </c>
      <c r="R706" s="2"/>
      <c r="T706" s="2"/>
    </row>
    <row r="707" spans="1:20" x14ac:dyDescent="0.2">
      <c r="A707" s="103"/>
      <c r="B707" s="28" t="s">
        <v>565</v>
      </c>
      <c r="C707" s="22" t="s">
        <v>818</v>
      </c>
      <c r="D707" s="2" t="s">
        <v>818</v>
      </c>
      <c r="E707" s="5">
        <v>494</v>
      </c>
      <c r="F707" s="2" t="b">
        <v>1</v>
      </c>
      <c r="G707" s="5">
        <v>182327</v>
      </c>
      <c r="H707" s="2" t="s">
        <v>837</v>
      </c>
      <c r="I707" s="5">
        <v>910042</v>
      </c>
      <c r="J707" s="2" t="b">
        <v>1</v>
      </c>
      <c r="K707" s="5">
        <v>2757</v>
      </c>
      <c r="L707" s="4" t="s">
        <v>833</v>
      </c>
      <c r="M707" s="5">
        <v>10091</v>
      </c>
      <c r="N707" s="2" t="s">
        <v>823</v>
      </c>
      <c r="O707" s="5">
        <v>627</v>
      </c>
      <c r="P707" s="2" t="s">
        <v>818</v>
      </c>
      <c r="Q707" s="5">
        <v>1892</v>
      </c>
      <c r="R707" s="2"/>
      <c r="T707" s="2"/>
    </row>
    <row r="708" spans="1:20" x14ac:dyDescent="0.2">
      <c r="A708" s="103"/>
      <c r="B708" s="28" t="s">
        <v>562</v>
      </c>
      <c r="C708" s="22" t="s">
        <v>818</v>
      </c>
      <c r="D708" s="2" t="s">
        <v>818</v>
      </c>
      <c r="E708" s="5">
        <v>414</v>
      </c>
      <c r="F708" s="2" t="b">
        <v>1</v>
      </c>
      <c r="G708" s="5">
        <v>182281</v>
      </c>
      <c r="H708" s="2" t="s">
        <v>818</v>
      </c>
      <c r="I708" s="5">
        <v>4640</v>
      </c>
      <c r="J708" s="2" t="b">
        <v>1</v>
      </c>
      <c r="K708" s="5">
        <v>2725</v>
      </c>
      <c r="L708" s="4" t="s">
        <v>833</v>
      </c>
      <c r="M708" s="5">
        <v>11193</v>
      </c>
      <c r="N708" s="2" t="s">
        <v>823</v>
      </c>
      <c r="O708" s="5">
        <v>577</v>
      </c>
      <c r="P708" s="2" t="s">
        <v>818</v>
      </c>
      <c r="Q708" s="5">
        <v>1720</v>
      </c>
      <c r="R708" s="2"/>
      <c r="T708" s="2"/>
    </row>
    <row r="709" spans="1:20" x14ac:dyDescent="0.2">
      <c r="A709" s="103"/>
      <c r="B709" s="28" t="s">
        <v>561</v>
      </c>
      <c r="C709" s="22" t="s">
        <v>820</v>
      </c>
      <c r="D709" s="2" t="s">
        <v>820</v>
      </c>
      <c r="E709" s="5">
        <v>414</v>
      </c>
      <c r="F709" s="2" t="s">
        <v>883</v>
      </c>
      <c r="G709" s="5">
        <v>301828</v>
      </c>
      <c r="H709" s="76" t="s">
        <v>820</v>
      </c>
      <c r="I709" s="5">
        <v>910036</v>
      </c>
      <c r="J709" s="2" t="b">
        <v>0</v>
      </c>
      <c r="K709" s="5">
        <v>2476</v>
      </c>
      <c r="L709" s="4" t="s">
        <v>833</v>
      </c>
      <c r="M709" s="5">
        <v>7990</v>
      </c>
      <c r="N709" s="2" t="s">
        <v>823</v>
      </c>
      <c r="O709" s="5">
        <v>522</v>
      </c>
      <c r="P709" s="2" t="s">
        <v>820</v>
      </c>
      <c r="Q709" s="5">
        <v>2075</v>
      </c>
      <c r="R709" s="2"/>
      <c r="T709" s="2"/>
    </row>
    <row r="710" spans="1:20" x14ac:dyDescent="0.2">
      <c r="A710" s="103"/>
      <c r="B710" s="28" t="s">
        <v>558</v>
      </c>
      <c r="C710" s="22" t="s">
        <v>818</v>
      </c>
      <c r="D710" s="2" t="s">
        <v>818</v>
      </c>
      <c r="E710" s="5">
        <v>465</v>
      </c>
      <c r="F710" s="2" t="b">
        <v>1</v>
      </c>
      <c r="G710" s="5">
        <v>182946</v>
      </c>
      <c r="H710" s="2" t="s">
        <v>818</v>
      </c>
      <c r="I710" s="5">
        <v>5210</v>
      </c>
      <c r="J710" s="2" t="b">
        <v>1</v>
      </c>
      <c r="K710" s="5">
        <v>2845</v>
      </c>
      <c r="L710" s="4" t="b">
        <v>1</v>
      </c>
      <c r="M710" s="5">
        <v>5861</v>
      </c>
      <c r="N710" s="2" t="s">
        <v>876</v>
      </c>
      <c r="O710" s="5">
        <v>359</v>
      </c>
      <c r="P710" s="2" t="s">
        <v>818</v>
      </c>
      <c r="Q710" s="5">
        <v>1889</v>
      </c>
      <c r="R710" s="2"/>
      <c r="T710" s="2"/>
    </row>
    <row r="711" spans="1:20" x14ac:dyDescent="0.2">
      <c r="A711" s="103"/>
      <c r="B711" s="28" t="s">
        <v>556</v>
      </c>
      <c r="C711" s="22" t="s">
        <v>818</v>
      </c>
      <c r="D711" s="2" t="s">
        <v>818</v>
      </c>
      <c r="E711" s="5">
        <v>2492</v>
      </c>
      <c r="F711" s="2" t="b">
        <v>1</v>
      </c>
      <c r="G711" s="5">
        <v>91651</v>
      </c>
      <c r="H711" s="2" t="s">
        <v>818</v>
      </c>
      <c r="I711" s="5">
        <v>4732</v>
      </c>
      <c r="J711" s="2" t="b">
        <v>1</v>
      </c>
      <c r="K711" s="5">
        <v>3083</v>
      </c>
      <c r="L711" s="4" t="s">
        <v>833</v>
      </c>
      <c r="M711" s="5">
        <v>5794</v>
      </c>
      <c r="N711" s="2" t="s">
        <v>876</v>
      </c>
      <c r="O711" s="5">
        <v>496</v>
      </c>
      <c r="P711" s="2" t="s">
        <v>818</v>
      </c>
      <c r="Q711" s="5">
        <v>3760</v>
      </c>
      <c r="R711" s="2"/>
      <c r="T711" s="2"/>
    </row>
    <row r="712" spans="1:20" x14ac:dyDescent="0.2">
      <c r="A712" s="103"/>
      <c r="B712" s="28" t="s">
        <v>555</v>
      </c>
      <c r="C712" s="22" t="s">
        <v>818</v>
      </c>
      <c r="D712" s="2" t="s">
        <v>818</v>
      </c>
      <c r="E712" s="5">
        <v>456</v>
      </c>
      <c r="F712" s="2" t="b">
        <v>1</v>
      </c>
      <c r="G712" s="5">
        <v>182914</v>
      </c>
      <c r="H712" s="2" t="s">
        <v>838</v>
      </c>
      <c r="I712" s="5">
        <v>4237</v>
      </c>
      <c r="J712" s="2" t="b">
        <v>1</v>
      </c>
      <c r="K712" s="5">
        <v>2909</v>
      </c>
      <c r="L712" s="4" t="s">
        <v>833</v>
      </c>
      <c r="M712" s="5">
        <v>10038</v>
      </c>
      <c r="N712" s="2" t="s">
        <v>876</v>
      </c>
      <c r="O712" s="5">
        <v>337</v>
      </c>
      <c r="P712" s="2" t="s">
        <v>818</v>
      </c>
      <c r="Q712" s="5">
        <v>2571</v>
      </c>
      <c r="R712" s="2"/>
      <c r="T712" s="2"/>
    </row>
    <row r="713" spans="1:20" x14ac:dyDescent="0.2">
      <c r="A713" s="103"/>
      <c r="B713" s="28" t="s">
        <v>553</v>
      </c>
      <c r="C713" s="22" t="s">
        <v>818</v>
      </c>
      <c r="D713" s="2" t="s">
        <v>818</v>
      </c>
      <c r="E713" s="5">
        <v>3289</v>
      </c>
      <c r="F713" s="2" t="b">
        <v>1</v>
      </c>
      <c r="G713" s="5">
        <v>183622</v>
      </c>
      <c r="H713" s="2" t="s">
        <v>818</v>
      </c>
      <c r="I713" s="5">
        <v>10384</v>
      </c>
      <c r="J713" s="2" t="b">
        <v>1</v>
      </c>
      <c r="K713" s="5">
        <v>2830</v>
      </c>
      <c r="L713" s="4" t="s">
        <v>833</v>
      </c>
      <c r="M713" s="5">
        <v>9089</v>
      </c>
      <c r="N713" s="2" t="s">
        <v>823</v>
      </c>
      <c r="O713" s="5">
        <v>1112</v>
      </c>
      <c r="P713" s="2" t="s">
        <v>818</v>
      </c>
      <c r="Q713" s="5">
        <v>186721</v>
      </c>
      <c r="R713" s="2"/>
      <c r="T713" s="2"/>
    </row>
    <row r="714" spans="1:20" x14ac:dyDescent="0.2">
      <c r="A714" s="103"/>
      <c r="B714" s="28" t="s">
        <v>552</v>
      </c>
      <c r="C714" s="22" t="s">
        <v>818</v>
      </c>
      <c r="D714" s="2" t="s">
        <v>818</v>
      </c>
      <c r="E714" s="5">
        <v>459</v>
      </c>
      <c r="F714" s="2" t="b">
        <v>1</v>
      </c>
      <c r="G714" s="5">
        <v>36809</v>
      </c>
      <c r="H714" s="2" t="s">
        <v>818</v>
      </c>
      <c r="I714" s="5">
        <v>7622</v>
      </c>
      <c r="J714" s="2" t="b">
        <v>1</v>
      </c>
      <c r="K714" s="5">
        <v>3185</v>
      </c>
      <c r="L714" s="4" t="s">
        <v>833</v>
      </c>
      <c r="M714" s="5">
        <v>22543</v>
      </c>
      <c r="N714" s="2" t="s">
        <v>823</v>
      </c>
      <c r="O714" s="5">
        <v>482</v>
      </c>
      <c r="P714" s="2" t="s">
        <v>818</v>
      </c>
      <c r="Q714" s="5">
        <v>3334</v>
      </c>
      <c r="R714" s="2"/>
      <c r="T714" s="2"/>
    </row>
    <row r="715" spans="1:20" x14ac:dyDescent="0.2">
      <c r="A715" s="103"/>
      <c r="B715" s="28" t="s">
        <v>551</v>
      </c>
      <c r="C715" s="22" t="s">
        <v>818</v>
      </c>
      <c r="D715" s="2" t="s">
        <v>818</v>
      </c>
      <c r="E715" s="5">
        <v>662</v>
      </c>
      <c r="F715" s="2" t="b">
        <v>1</v>
      </c>
      <c r="G715" s="5">
        <v>182313</v>
      </c>
      <c r="H715" s="2" t="s">
        <v>818</v>
      </c>
      <c r="I715" s="5">
        <v>7043</v>
      </c>
      <c r="J715" s="2" t="b">
        <v>1</v>
      </c>
      <c r="K715" s="5">
        <v>2804</v>
      </c>
      <c r="L715" s="4" t="b">
        <v>1</v>
      </c>
      <c r="M715" s="5">
        <v>10357</v>
      </c>
      <c r="N715" s="2" t="s">
        <v>823</v>
      </c>
      <c r="O715" s="5">
        <v>521</v>
      </c>
      <c r="P715" s="2" t="s">
        <v>818</v>
      </c>
      <c r="Q715" s="5">
        <v>49717</v>
      </c>
      <c r="R715" s="2"/>
      <c r="T715" s="2"/>
    </row>
    <row r="716" spans="1:20" x14ac:dyDescent="0.2">
      <c r="A716" s="103"/>
      <c r="B716" s="28" t="s">
        <v>548</v>
      </c>
      <c r="C716" s="22" t="s">
        <v>818</v>
      </c>
      <c r="D716" s="2" t="s">
        <v>818</v>
      </c>
      <c r="E716" s="5">
        <v>432</v>
      </c>
      <c r="F716" s="2" t="b">
        <v>1</v>
      </c>
      <c r="G716" s="5">
        <v>182302</v>
      </c>
      <c r="H716" s="2" t="s">
        <v>818</v>
      </c>
      <c r="I716" s="5">
        <v>6415</v>
      </c>
      <c r="J716" s="2" t="b">
        <v>1</v>
      </c>
      <c r="K716" s="5">
        <v>2892</v>
      </c>
      <c r="L716" s="4" t="b">
        <v>1</v>
      </c>
      <c r="M716" s="5">
        <v>6194</v>
      </c>
      <c r="N716" s="2" t="s">
        <v>823</v>
      </c>
      <c r="O716" s="5">
        <v>1905</v>
      </c>
      <c r="P716" s="2" t="s">
        <v>818</v>
      </c>
      <c r="Q716" s="5">
        <v>2415</v>
      </c>
      <c r="R716" s="2"/>
      <c r="T716" s="2"/>
    </row>
    <row r="717" spans="1:20" x14ac:dyDescent="0.2">
      <c r="A717" s="103"/>
      <c r="B717" s="28" t="s">
        <v>547</v>
      </c>
      <c r="C717" s="22" t="s">
        <v>818</v>
      </c>
      <c r="D717" s="2" t="s">
        <v>818</v>
      </c>
      <c r="E717" s="5">
        <v>4475</v>
      </c>
      <c r="F717" s="2" t="b">
        <v>0</v>
      </c>
      <c r="G717" s="5">
        <v>2042</v>
      </c>
      <c r="H717" s="2" t="s">
        <v>818</v>
      </c>
      <c r="I717" s="5">
        <v>5135</v>
      </c>
      <c r="J717" s="2" t="b">
        <v>1</v>
      </c>
      <c r="K717" s="5">
        <v>3781</v>
      </c>
      <c r="L717" s="4" t="s">
        <v>833</v>
      </c>
      <c r="M717" s="5">
        <v>6470</v>
      </c>
      <c r="N717" s="2" t="s">
        <v>823</v>
      </c>
      <c r="O717" s="5">
        <v>417</v>
      </c>
      <c r="P717" s="2" t="s">
        <v>818</v>
      </c>
      <c r="Q717" s="5">
        <v>6536</v>
      </c>
      <c r="R717" s="2"/>
      <c r="T717" s="2"/>
    </row>
    <row r="718" spans="1:20" x14ac:dyDescent="0.2">
      <c r="A718" s="103"/>
      <c r="B718" s="28" t="s">
        <v>545</v>
      </c>
      <c r="C718" s="22" t="s">
        <v>818</v>
      </c>
      <c r="D718" s="2" t="s">
        <v>818</v>
      </c>
      <c r="E718" s="5">
        <v>838</v>
      </c>
      <c r="F718" s="2" t="b">
        <v>1</v>
      </c>
      <c r="G718" s="5">
        <v>39303</v>
      </c>
      <c r="H718" s="2" t="s">
        <v>818</v>
      </c>
      <c r="I718" s="5">
        <v>7548</v>
      </c>
      <c r="J718" s="2" t="b">
        <v>1</v>
      </c>
      <c r="K718" s="5">
        <v>3586</v>
      </c>
      <c r="L718" s="4" t="b">
        <v>1</v>
      </c>
      <c r="M718" s="5">
        <v>220428</v>
      </c>
      <c r="N718" s="2" t="s">
        <v>823</v>
      </c>
      <c r="O718" s="5">
        <v>1086</v>
      </c>
      <c r="P718" s="2" t="s">
        <v>818</v>
      </c>
      <c r="Q718" s="5">
        <v>16782</v>
      </c>
      <c r="R718" s="2"/>
      <c r="T718" s="2"/>
    </row>
    <row r="719" spans="1:20" x14ac:dyDescent="0.2">
      <c r="A719" s="103"/>
      <c r="B719" s="28" t="s">
        <v>534</v>
      </c>
      <c r="C719" s="22" t="s">
        <v>818</v>
      </c>
      <c r="D719" s="2" t="s">
        <v>818</v>
      </c>
      <c r="E719" s="5">
        <v>641</v>
      </c>
      <c r="F719" s="2" t="b">
        <v>1</v>
      </c>
      <c r="G719" s="5">
        <v>186117</v>
      </c>
      <c r="H719" s="2" t="s">
        <v>818</v>
      </c>
      <c r="I719" s="5">
        <v>9645</v>
      </c>
      <c r="J719" s="2" t="b">
        <v>1</v>
      </c>
      <c r="K719" s="5">
        <v>3735</v>
      </c>
      <c r="L719" s="4" t="b">
        <v>1</v>
      </c>
      <c r="M719" s="5">
        <v>7442</v>
      </c>
      <c r="N719" s="2" t="s">
        <v>876</v>
      </c>
      <c r="O719" s="5">
        <v>345</v>
      </c>
      <c r="P719" s="2" t="s">
        <v>818</v>
      </c>
      <c r="Q719" s="5">
        <v>8018</v>
      </c>
      <c r="R719" s="2"/>
      <c r="T719" s="2"/>
    </row>
    <row r="720" spans="1:20" x14ac:dyDescent="0.2">
      <c r="A720" s="103"/>
      <c r="B720" s="28" t="s">
        <v>533</v>
      </c>
      <c r="C720" s="22" t="s">
        <v>818</v>
      </c>
      <c r="D720" s="2" t="s">
        <v>818</v>
      </c>
      <c r="E720" s="5">
        <v>729</v>
      </c>
      <c r="F720" s="2" t="b">
        <v>1</v>
      </c>
      <c r="G720" s="5">
        <v>186739</v>
      </c>
      <c r="H720" s="2" t="s">
        <v>818</v>
      </c>
      <c r="I720" s="5">
        <v>11567</v>
      </c>
      <c r="J720" s="2" t="b">
        <v>1</v>
      </c>
      <c r="K720" s="5">
        <v>4655</v>
      </c>
      <c r="L720" s="4" t="b">
        <v>1</v>
      </c>
      <c r="M720" s="5">
        <v>7963</v>
      </c>
      <c r="N720" s="2" t="s">
        <v>876</v>
      </c>
      <c r="O720" s="5">
        <v>427</v>
      </c>
      <c r="P720" s="2" t="s">
        <v>818</v>
      </c>
      <c r="Q720" s="5">
        <v>39639</v>
      </c>
      <c r="R720" s="2"/>
      <c r="T720" s="2"/>
    </row>
    <row r="721" spans="1:20" x14ac:dyDescent="0.2">
      <c r="A721" s="103"/>
      <c r="B721" s="28" t="s">
        <v>532</v>
      </c>
      <c r="C721" s="22" t="s">
        <v>818</v>
      </c>
      <c r="D721" s="2" t="s">
        <v>837</v>
      </c>
      <c r="E721" s="5">
        <v>900869</v>
      </c>
      <c r="F721" s="2" t="s">
        <v>883</v>
      </c>
      <c r="G721" s="5">
        <v>301747</v>
      </c>
      <c r="H721" s="2" t="s">
        <v>838</v>
      </c>
      <c r="I721" s="5">
        <v>25391</v>
      </c>
      <c r="J721" s="2" t="b">
        <v>1</v>
      </c>
      <c r="K721" s="5">
        <v>4145</v>
      </c>
      <c r="L721" s="4" t="b">
        <v>1</v>
      </c>
      <c r="M721" s="5">
        <v>9526</v>
      </c>
      <c r="N721" s="2" t="s">
        <v>876</v>
      </c>
      <c r="O721" s="5">
        <v>394</v>
      </c>
      <c r="P721" s="64" t="s">
        <v>837</v>
      </c>
      <c r="Q721" s="5">
        <v>910103</v>
      </c>
      <c r="R721" s="2"/>
      <c r="T721" s="2"/>
    </row>
    <row r="722" spans="1:20" x14ac:dyDescent="0.2">
      <c r="A722" s="103"/>
      <c r="B722" s="28" t="s">
        <v>502</v>
      </c>
      <c r="C722" s="22" t="s">
        <v>818</v>
      </c>
      <c r="D722" s="2" t="s">
        <v>818</v>
      </c>
      <c r="E722" s="5">
        <v>2492</v>
      </c>
      <c r="F722" s="2" t="b">
        <v>1</v>
      </c>
      <c r="G722" s="5">
        <v>182721</v>
      </c>
      <c r="H722" s="2" t="s">
        <v>837</v>
      </c>
      <c r="I722" s="5">
        <v>910040</v>
      </c>
      <c r="J722" s="2" t="b">
        <v>1</v>
      </c>
      <c r="K722" s="5">
        <v>5411</v>
      </c>
      <c r="L722" s="4" t="s">
        <v>833</v>
      </c>
      <c r="M722" s="5">
        <v>6911</v>
      </c>
      <c r="N722" s="2" t="s">
        <v>876</v>
      </c>
      <c r="O722" s="5">
        <v>324</v>
      </c>
      <c r="P722" s="2" t="s">
        <v>818</v>
      </c>
      <c r="Q722" s="5">
        <v>3250</v>
      </c>
      <c r="R722" s="2"/>
      <c r="T722" s="2"/>
    </row>
    <row r="723" spans="1:20" x14ac:dyDescent="0.2">
      <c r="A723" s="103"/>
      <c r="B723" s="28" t="s">
        <v>498</v>
      </c>
      <c r="C723" s="22" t="s">
        <v>818</v>
      </c>
      <c r="D723" s="2" t="s">
        <v>818</v>
      </c>
      <c r="E723" s="5">
        <v>1814</v>
      </c>
      <c r="F723" s="2" t="b">
        <v>1</v>
      </c>
      <c r="G723" s="5">
        <v>13181</v>
      </c>
      <c r="H723" s="2" t="s">
        <v>818</v>
      </c>
      <c r="I723" s="5">
        <v>6432</v>
      </c>
      <c r="J723" s="2" t="b">
        <v>1</v>
      </c>
      <c r="K723" s="5">
        <v>2765</v>
      </c>
      <c r="L723" s="4" t="b">
        <v>1</v>
      </c>
      <c r="M723" s="5">
        <v>7811</v>
      </c>
      <c r="N723" s="2" t="s">
        <v>876</v>
      </c>
      <c r="O723" s="5">
        <v>369</v>
      </c>
      <c r="P723" s="2" t="s">
        <v>818</v>
      </c>
      <c r="Q723" s="5">
        <v>1693</v>
      </c>
      <c r="R723" s="2"/>
      <c r="T723" s="2"/>
    </row>
    <row r="724" spans="1:20" x14ac:dyDescent="0.2">
      <c r="A724" s="103"/>
      <c r="B724" s="28" t="s">
        <v>497</v>
      </c>
      <c r="C724" s="22" t="s">
        <v>818</v>
      </c>
      <c r="D724" s="2" t="s">
        <v>818</v>
      </c>
      <c r="E724" s="5">
        <v>2900</v>
      </c>
      <c r="F724" s="2" t="b">
        <v>1</v>
      </c>
      <c r="G724" s="5">
        <v>9796</v>
      </c>
      <c r="H724" s="2" t="s">
        <v>818</v>
      </c>
      <c r="I724" s="5">
        <v>6035</v>
      </c>
      <c r="J724" s="2" t="b">
        <v>1</v>
      </c>
      <c r="K724" s="5">
        <v>4430</v>
      </c>
      <c r="L724" s="4" t="s">
        <v>833</v>
      </c>
      <c r="M724" s="5">
        <v>903200</v>
      </c>
      <c r="N724" s="2" t="s">
        <v>823</v>
      </c>
      <c r="O724" s="5">
        <v>478</v>
      </c>
      <c r="P724" s="2" t="s">
        <v>818</v>
      </c>
      <c r="Q724" s="5">
        <v>55114</v>
      </c>
      <c r="R724" s="2"/>
      <c r="T724" s="2"/>
    </row>
    <row r="725" spans="1:20" x14ac:dyDescent="0.2">
      <c r="A725" s="103"/>
      <c r="B725" s="28" t="s">
        <v>492</v>
      </c>
      <c r="C725" s="22" t="s">
        <v>818</v>
      </c>
      <c r="D725" s="2" t="s">
        <v>818</v>
      </c>
      <c r="E725" s="5">
        <v>3767</v>
      </c>
      <c r="F725" s="2" t="b">
        <v>1</v>
      </c>
      <c r="G725" s="5">
        <v>182282</v>
      </c>
      <c r="H725" s="2" t="s">
        <v>837</v>
      </c>
      <c r="I725" s="5">
        <v>910037</v>
      </c>
      <c r="J725" s="2" t="s">
        <v>833</v>
      </c>
      <c r="K725" s="5">
        <v>900344</v>
      </c>
      <c r="L725" s="4" t="b">
        <v>1</v>
      </c>
      <c r="M725" s="5">
        <v>15425</v>
      </c>
      <c r="N725" s="2" t="s">
        <v>823</v>
      </c>
      <c r="O725" s="5">
        <v>456</v>
      </c>
      <c r="P725" s="2" t="s">
        <v>818</v>
      </c>
      <c r="Q725" s="5">
        <v>10161</v>
      </c>
      <c r="R725" s="2"/>
      <c r="T725" s="2"/>
    </row>
    <row r="726" spans="1:20" x14ac:dyDescent="0.2">
      <c r="A726" s="103"/>
      <c r="B726" s="28" t="s">
        <v>760</v>
      </c>
      <c r="C726" s="22" t="s">
        <v>818</v>
      </c>
      <c r="D726" s="2" t="s">
        <v>818</v>
      </c>
      <c r="E726" s="5">
        <v>20374</v>
      </c>
      <c r="F726" s="2" t="b">
        <v>1</v>
      </c>
      <c r="G726" s="5">
        <v>9595</v>
      </c>
      <c r="H726" s="2" t="s">
        <v>837</v>
      </c>
      <c r="I726" s="5">
        <v>910054</v>
      </c>
      <c r="J726" s="2" t="s">
        <v>833</v>
      </c>
      <c r="K726" s="5">
        <v>900361</v>
      </c>
      <c r="L726" s="4" t="b">
        <v>1</v>
      </c>
      <c r="M726" s="5">
        <v>13396</v>
      </c>
      <c r="N726" s="2" t="s">
        <v>823</v>
      </c>
      <c r="O726" s="5">
        <v>413</v>
      </c>
      <c r="P726" s="2" t="s">
        <v>818</v>
      </c>
      <c r="Q726" s="5">
        <v>59989</v>
      </c>
      <c r="R726" s="2"/>
      <c r="T726" s="2"/>
    </row>
    <row r="727" spans="1:20" x14ac:dyDescent="0.2">
      <c r="A727" s="103"/>
      <c r="B727" s="28" t="s">
        <v>759</v>
      </c>
      <c r="C727" s="22" t="s">
        <v>820</v>
      </c>
      <c r="D727" s="2" t="s">
        <v>820</v>
      </c>
      <c r="E727" s="5">
        <v>1977</v>
      </c>
      <c r="F727" s="2" t="b">
        <v>0</v>
      </c>
      <c r="G727" s="5">
        <v>2060</v>
      </c>
      <c r="H727" s="75" t="s">
        <v>820</v>
      </c>
      <c r="I727" s="5">
        <v>29628</v>
      </c>
      <c r="J727" s="2" t="b">
        <v>0</v>
      </c>
      <c r="K727" s="5">
        <v>3193</v>
      </c>
      <c r="L727" s="4" t="s">
        <v>833</v>
      </c>
      <c r="M727" s="5">
        <v>901258</v>
      </c>
      <c r="N727" s="2" t="s">
        <v>823</v>
      </c>
      <c r="O727" s="5">
        <v>401</v>
      </c>
      <c r="P727" s="2" t="s">
        <v>820</v>
      </c>
      <c r="Q727" s="5">
        <v>9288</v>
      </c>
      <c r="R727" s="2"/>
      <c r="T727" s="2"/>
    </row>
    <row r="728" spans="1:20" x14ac:dyDescent="0.2">
      <c r="A728" s="103"/>
      <c r="B728" s="28" t="s">
        <v>758</v>
      </c>
      <c r="C728" s="22" t="s">
        <v>818</v>
      </c>
      <c r="D728" s="2" t="s">
        <v>818</v>
      </c>
      <c r="E728" s="5">
        <v>1801</v>
      </c>
      <c r="F728" s="2" t="b">
        <v>1</v>
      </c>
      <c r="G728" s="5">
        <v>182333</v>
      </c>
      <c r="H728" s="2" t="s">
        <v>818</v>
      </c>
      <c r="I728" s="5">
        <v>8681</v>
      </c>
      <c r="J728" s="2" t="b">
        <v>1</v>
      </c>
      <c r="K728" s="5">
        <v>3214</v>
      </c>
      <c r="L728" s="4" t="b">
        <v>1</v>
      </c>
      <c r="M728" s="5">
        <v>5912</v>
      </c>
      <c r="N728" s="2" t="s">
        <v>823</v>
      </c>
      <c r="O728" s="5">
        <v>311</v>
      </c>
      <c r="P728" s="2" t="s">
        <v>818</v>
      </c>
      <c r="Q728" s="5">
        <v>1960</v>
      </c>
      <c r="R728" s="2"/>
      <c r="T728" s="2"/>
    </row>
    <row r="729" spans="1:20" x14ac:dyDescent="0.2">
      <c r="A729" s="103"/>
      <c r="B729" s="28" t="s">
        <v>757</v>
      </c>
      <c r="C729" s="22" t="s">
        <v>818</v>
      </c>
      <c r="D729" s="2" t="s">
        <v>818</v>
      </c>
      <c r="E729" s="5">
        <v>1627</v>
      </c>
      <c r="F729" s="2" t="b">
        <v>1</v>
      </c>
      <c r="G729" s="5">
        <v>182324</v>
      </c>
      <c r="H729" s="2" t="s">
        <v>819</v>
      </c>
      <c r="I729" s="5">
        <v>6795</v>
      </c>
      <c r="J729" s="2" t="s">
        <v>833</v>
      </c>
      <c r="K729" s="5">
        <v>8148</v>
      </c>
      <c r="L729" s="4" t="b">
        <v>1</v>
      </c>
      <c r="M729" s="5">
        <v>85612</v>
      </c>
      <c r="N729" s="2" t="s">
        <v>823</v>
      </c>
      <c r="O729" s="5">
        <v>5939</v>
      </c>
      <c r="P729" s="2" t="s">
        <v>818</v>
      </c>
      <c r="Q729" s="5">
        <v>1316</v>
      </c>
      <c r="R729" s="2"/>
      <c r="T729" s="2"/>
    </row>
    <row r="730" spans="1:20" x14ac:dyDescent="0.2">
      <c r="A730" s="103"/>
      <c r="B730" s="28" t="s">
        <v>756</v>
      </c>
      <c r="C730" s="22" t="s">
        <v>818</v>
      </c>
      <c r="D730" s="2" t="s">
        <v>818</v>
      </c>
      <c r="E730" s="5">
        <v>1520</v>
      </c>
      <c r="F730" s="2" t="b">
        <v>1</v>
      </c>
      <c r="G730" s="5">
        <v>182302</v>
      </c>
      <c r="H730" s="2" t="s">
        <v>818</v>
      </c>
      <c r="I730" s="5">
        <v>4300</v>
      </c>
      <c r="J730" s="2" t="s">
        <v>833</v>
      </c>
      <c r="K730" s="5">
        <v>9890</v>
      </c>
      <c r="L730" s="4" t="s">
        <v>833</v>
      </c>
      <c r="M730" s="5">
        <v>10797</v>
      </c>
      <c r="N730" s="2" t="s">
        <v>876</v>
      </c>
      <c r="O730" s="5">
        <v>338</v>
      </c>
      <c r="P730" s="2" t="s">
        <v>818</v>
      </c>
      <c r="Q730" s="5">
        <v>1641</v>
      </c>
      <c r="R730" s="2"/>
      <c r="T730" s="2"/>
    </row>
    <row r="731" spans="1:20" x14ac:dyDescent="0.2">
      <c r="A731" s="103"/>
      <c r="B731" s="28" t="s">
        <v>489</v>
      </c>
      <c r="C731" s="22" t="s">
        <v>818</v>
      </c>
      <c r="D731" s="2" t="s">
        <v>818</v>
      </c>
      <c r="E731" s="5">
        <v>1709</v>
      </c>
      <c r="F731" s="2" t="b">
        <v>1</v>
      </c>
      <c r="G731" s="5">
        <v>182262</v>
      </c>
      <c r="H731" s="2" t="s">
        <v>818</v>
      </c>
      <c r="I731" s="5">
        <v>5595</v>
      </c>
      <c r="J731" s="2" t="b">
        <v>1</v>
      </c>
      <c r="K731" s="5">
        <v>2855</v>
      </c>
      <c r="L731" s="4" t="b">
        <v>1</v>
      </c>
      <c r="M731" s="5">
        <v>5697</v>
      </c>
      <c r="N731" s="2" t="s">
        <v>876</v>
      </c>
      <c r="O731" s="5">
        <v>379</v>
      </c>
      <c r="P731" s="2" t="s">
        <v>818</v>
      </c>
      <c r="Q731" s="5">
        <v>1772</v>
      </c>
      <c r="R731" s="2"/>
      <c r="T731" s="2"/>
    </row>
    <row r="732" spans="1:20" x14ac:dyDescent="0.2">
      <c r="A732" s="103"/>
      <c r="B732" s="28" t="s">
        <v>755</v>
      </c>
      <c r="C732" s="22" t="s">
        <v>818</v>
      </c>
      <c r="D732" s="2" t="s">
        <v>818</v>
      </c>
      <c r="E732" s="5">
        <v>1845</v>
      </c>
      <c r="F732" s="2" t="s">
        <v>883</v>
      </c>
      <c r="G732" s="5">
        <v>121789</v>
      </c>
      <c r="H732" s="2" t="s">
        <v>818</v>
      </c>
      <c r="I732" s="5">
        <v>7525</v>
      </c>
      <c r="J732" s="2" t="b">
        <v>1</v>
      </c>
      <c r="K732" s="5">
        <v>2975</v>
      </c>
      <c r="L732" s="4" t="s">
        <v>833</v>
      </c>
      <c r="M732" s="5">
        <v>5288</v>
      </c>
      <c r="N732" s="2" t="s">
        <v>823</v>
      </c>
      <c r="O732" s="5">
        <v>343</v>
      </c>
      <c r="P732" s="2" t="s">
        <v>820</v>
      </c>
      <c r="Q732" s="5">
        <v>2497</v>
      </c>
      <c r="R732" s="2"/>
      <c r="T732" s="2"/>
    </row>
    <row r="733" spans="1:20" x14ac:dyDescent="0.2">
      <c r="A733" s="103"/>
      <c r="B733" s="28" t="s">
        <v>488</v>
      </c>
      <c r="C733" s="22" t="s">
        <v>818</v>
      </c>
      <c r="D733" s="2" t="s">
        <v>818</v>
      </c>
      <c r="E733" s="5">
        <v>1736</v>
      </c>
      <c r="F733" s="2" t="b">
        <v>1</v>
      </c>
      <c r="G733" s="5">
        <v>182346</v>
      </c>
      <c r="H733" s="2" t="s">
        <v>838</v>
      </c>
      <c r="I733" s="5">
        <v>17382</v>
      </c>
      <c r="J733" s="2" t="s">
        <v>833</v>
      </c>
      <c r="K733" s="5">
        <v>6408</v>
      </c>
      <c r="L733" s="4" t="s">
        <v>833</v>
      </c>
      <c r="M733" s="5">
        <v>5625</v>
      </c>
      <c r="N733" s="2" t="s">
        <v>876</v>
      </c>
      <c r="O733" s="5">
        <v>304</v>
      </c>
      <c r="P733" s="2" t="s">
        <v>818</v>
      </c>
      <c r="Q733" s="5">
        <v>2055</v>
      </c>
      <c r="R733" s="2"/>
      <c r="T733" s="2"/>
    </row>
    <row r="734" spans="1:20" x14ac:dyDescent="0.2">
      <c r="A734" s="103"/>
      <c r="B734" s="28" t="s">
        <v>487</v>
      </c>
      <c r="C734" s="22" t="s">
        <v>818</v>
      </c>
      <c r="D734" s="2" t="s">
        <v>818</v>
      </c>
      <c r="E734" s="5">
        <v>1819</v>
      </c>
      <c r="F734" s="2" t="b">
        <v>1</v>
      </c>
      <c r="G734" s="5">
        <v>182346</v>
      </c>
      <c r="H734" s="2" t="s">
        <v>838</v>
      </c>
      <c r="I734" s="5">
        <v>17842</v>
      </c>
      <c r="J734" s="2" t="s">
        <v>833</v>
      </c>
      <c r="K734" s="5">
        <v>7057</v>
      </c>
      <c r="L734" s="4" t="s">
        <v>833</v>
      </c>
      <c r="M734" s="5">
        <v>6122</v>
      </c>
      <c r="N734" s="2" t="s">
        <v>876</v>
      </c>
      <c r="O734" s="5">
        <v>288</v>
      </c>
      <c r="P734" s="2" t="s">
        <v>818</v>
      </c>
      <c r="Q734" s="5">
        <v>1770</v>
      </c>
      <c r="R734" s="2"/>
      <c r="T734" s="2"/>
    </row>
    <row r="735" spans="1:20" x14ac:dyDescent="0.2">
      <c r="A735" s="103"/>
      <c r="B735" s="28" t="s">
        <v>754</v>
      </c>
      <c r="C735" s="22" t="s">
        <v>820</v>
      </c>
      <c r="D735" s="2" t="s">
        <v>820</v>
      </c>
      <c r="E735" s="5">
        <v>2139</v>
      </c>
      <c r="F735" s="2" t="b">
        <v>0</v>
      </c>
      <c r="G735" s="5">
        <v>2026</v>
      </c>
      <c r="H735" s="75" t="s">
        <v>820</v>
      </c>
      <c r="I735" s="5">
        <v>28290</v>
      </c>
      <c r="J735" s="2" t="b">
        <v>0</v>
      </c>
      <c r="K735" s="5">
        <v>2272</v>
      </c>
      <c r="L735" s="66" t="s">
        <v>838</v>
      </c>
      <c r="M735" s="5">
        <v>4057</v>
      </c>
      <c r="N735" s="2" t="s">
        <v>823</v>
      </c>
      <c r="O735" s="5">
        <v>442</v>
      </c>
      <c r="P735" s="2" t="s">
        <v>820</v>
      </c>
      <c r="Q735" s="5">
        <v>2159</v>
      </c>
      <c r="R735" s="2"/>
      <c r="T735" s="2"/>
    </row>
    <row r="736" spans="1:20" x14ac:dyDescent="0.2">
      <c r="A736" s="103"/>
      <c r="B736" s="44" t="s">
        <v>753</v>
      </c>
      <c r="C736" s="22" t="s">
        <v>820</v>
      </c>
      <c r="D736" s="2" t="s">
        <v>819</v>
      </c>
      <c r="E736" s="5">
        <v>1342</v>
      </c>
      <c r="F736" s="2" t="s">
        <v>883</v>
      </c>
      <c r="G736" s="5">
        <v>121655</v>
      </c>
      <c r="H736" s="2" t="s">
        <v>837</v>
      </c>
      <c r="I736" s="5">
        <v>900186</v>
      </c>
      <c r="J736" s="2" t="s">
        <v>833</v>
      </c>
      <c r="K736" s="5">
        <v>900332</v>
      </c>
      <c r="L736" s="66" t="s">
        <v>838</v>
      </c>
      <c r="M736" s="5">
        <v>3739</v>
      </c>
      <c r="N736" s="2" t="s">
        <v>876</v>
      </c>
      <c r="O736" s="5">
        <v>292</v>
      </c>
      <c r="P736" s="2" t="s">
        <v>818</v>
      </c>
      <c r="Q736" s="5">
        <v>1135</v>
      </c>
      <c r="R736" s="2" t="s">
        <v>101</v>
      </c>
      <c r="T736" s="2"/>
    </row>
    <row r="737" spans="1:20" x14ac:dyDescent="0.2">
      <c r="A737" s="103"/>
      <c r="B737" s="28" t="s">
        <v>485</v>
      </c>
      <c r="C737" s="22" t="s">
        <v>818</v>
      </c>
      <c r="D737" s="2" t="s">
        <v>818</v>
      </c>
      <c r="E737" s="5">
        <v>1581</v>
      </c>
      <c r="F737" s="2" t="b">
        <v>1</v>
      </c>
      <c r="G737" s="5">
        <v>258459</v>
      </c>
      <c r="H737" s="2" t="s">
        <v>818</v>
      </c>
      <c r="I737" s="5">
        <v>9078</v>
      </c>
      <c r="J737" s="2" t="b">
        <v>1</v>
      </c>
      <c r="K737" s="5">
        <v>2677</v>
      </c>
      <c r="L737" s="4" t="b">
        <v>1</v>
      </c>
      <c r="M737" s="5">
        <v>5917</v>
      </c>
      <c r="N737" s="2" t="s">
        <v>876</v>
      </c>
      <c r="O737" s="5">
        <v>296</v>
      </c>
      <c r="P737" s="2" t="s">
        <v>818</v>
      </c>
      <c r="Q737" s="5">
        <v>11755</v>
      </c>
      <c r="R737" s="2"/>
      <c r="T737" s="2"/>
    </row>
    <row r="738" spans="1:20" x14ac:dyDescent="0.2">
      <c r="A738" s="103"/>
      <c r="B738" s="28" t="s">
        <v>752</v>
      </c>
      <c r="C738" s="22" t="s">
        <v>818</v>
      </c>
      <c r="D738" s="2" t="s">
        <v>818</v>
      </c>
      <c r="E738" s="5">
        <v>1521</v>
      </c>
      <c r="F738" s="2" t="b">
        <v>1</v>
      </c>
      <c r="G738" s="5">
        <v>184674</v>
      </c>
      <c r="H738" s="2" t="s">
        <v>837</v>
      </c>
      <c r="I738" s="5">
        <v>900133</v>
      </c>
      <c r="J738" s="2" t="b">
        <v>1</v>
      </c>
      <c r="K738" s="5">
        <v>3815</v>
      </c>
      <c r="L738" s="4" t="s">
        <v>833</v>
      </c>
      <c r="M738" s="5">
        <v>19401</v>
      </c>
      <c r="N738" s="2" t="s">
        <v>823</v>
      </c>
      <c r="O738" s="5">
        <v>322</v>
      </c>
      <c r="P738" s="2" t="s">
        <v>820</v>
      </c>
      <c r="Q738" s="5">
        <v>1845</v>
      </c>
      <c r="R738" s="2"/>
      <c r="T738" s="2"/>
    </row>
    <row r="739" spans="1:20" x14ac:dyDescent="0.2">
      <c r="A739" s="103"/>
      <c r="B739" s="28" t="s">
        <v>484</v>
      </c>
      <c r="C739" s="22" t="s">
        <v>818</v>
      </c>
      <c r="D739" s="2" t="s">
        <v>818</v>
      </c>
      <c r="E739" s="5">
        <v>114954</v>
      </c>
      <c r="F739" s="2" t="b">
        <v>1</v>
      </c>
      <c r="G739" s="5">
        <v>199622</v>
      </c>
      <c r="H739" s="2" t="s">
        <v>838</v>
      </c>
      <c r="I739" s="5">
        <v>140384</v>
      </c>
      <c r="J739" s="2" t="b">
        <v>1</v>
      </c>
      <c r="K739" s="5">
        <v>5212</v>
      </c>
      <c r="L739" s="4" t="s">
        <v>833</v>
      </c>
      <c r="M739" s="5">
        <v>9295</v>
      </c>
      <c r="N739" s="2" t="s">
        <v>823</v>
      </c>
      <c r="O739" s="5">
        <v>1920</v>
      </c>
      <c r="P739" s="2" t="s">
        <v>818</v>
      </c>
      <c r="Q739" s="5">
        <v>48276</v>
      </c>
      <c r="R739" s="2"/>
      <c r="T739" s="2"/>
    </row>
    <row r="740" spans="1:20" x14ac:dyDescent="0.2">
      <c r="A740" s="103"/>
      <c r="B740" s="44" t="s">
        <v>751</v>
      </c>
      <c r="C740" s="22" t="s">
        <v>818</v>
      </c>
      <c r="D740" s="75" t="s">
        <v>818</v>
      </c>
      <c r="E740" s="5">
        <v>1404</v>
      </c>
      <c r="F740" s="2" t="b">
        <v>1</v>
      </c>
      <c r="G740" s="5">
        <v>2253</v>
      </c>
      <c r="H740" s="2" t="s">
        <v>818</v>
      </c>
      <c r="I740" s="5">
        <v>8567</v>
      </c>
      <c r="J740" s="2" t="b">
        <v>1</v>
      </c>
      <c r="K740" s="5">
        <v>3659</v>
      </c>
      <c r="L740" s="66" t="s">
        <v>838</v>
      </c>
      <c r="M740" s="5">
        <v>3817</v>
      </c>
      <c r="N740" s="2" t="s">
        <v>876</v>
      </c>
      <c r="O740" s="5">
        <v>311</v>
      </c>
      <c r="P740" s="2" t="s">
        <v>818</v>
      </c>
      <c r="Q740" s="5">
        <v>1399</v>
      </c>
      <c r="R740" s="2" t="s">
        <v>812</v>
      </c>
      <c r="T740" s="2"/>
    </row>
    <row r="741" spans="1:20" x14ac:dyDescent="0.2">
      <c r="A741" s="103"/>
      <c r="B741" s="44" t="s">
        <v>750</v>
      </c>
      <c r="C741" s="22" t="s">
        <v>818</v>
      </c>
      <c r="D741" s="2" t="s">
        <v>819</v>
      </c>
      <c r="E741" s="5">
        <v>1313</v>
      </c>
      <c r="F741" s="2" t="b">
        <v>1</v>
      </c>
      <c r="G741" s="5">
        <v>2290</v>
      </c>
      <c r="H741" s="2" t="s">
        <v>818</v>
      </c>
      <c r="I741" s="5">
        <v>7677</v>
      </c>
      <c r="J741" s="2" t="b">
        <v>1</v>
      </c>
      <c r="K741" s="5">
        <v>3671</v>
      </c>
      <c r="L741" s="66" t="s">
        <v>838</v>
      </c>
      <c r="M741" s="5">
        <v>3790</v>
      </c>
      <c r="N741" s="2" t="s">
        <v>822</v>
      </c>
      <c r="O741" s="5">
        <v>657</v>
      </c>
      <c r="P741" s="2" t="s">
        <v>818</v>
      </c>
      <c r="Q741" s="5">
        <v>1246</v>
      </c>
      <c r="R741" s="2" t="s">
        <v>101</v>
      </c>
      <c r="T741" s="2"/>
    </row>
    <row r="742" spans="1:20" x14ac:dyDescent="0.2">
      <c r="A742" s="103"/>
      <c r="B742" s="44" t="s">
        <v>749</v>
      </c>
      <c r="C742" s="22" t="s">
        <v>818</v>
      </c>
      <c r="D742" s="2" t="s">
        <v>819</v>
      </c>
      <c r="E742" s="5">
        <v>1342</v>
      </c>
      <c r="F742" s="2" t="s">
        <v>883</v>
      </c>
      <c r="G742" s="5">
        <v>121853</v>
      </c>
      <c r="H742" s="2" t="s">
        <v>818</v>
      </c>
      <c r="I742" s="5">
        <v>12542</v>
      </c>
      <c r="J742" s="2" t="b">
        <v>1</v>
      </c>
      <c r="K742" s="5">
        <v>40944</v>
      </c>
      <c r="L742" s="66" t="s">
        <v>838</v>
      </c>
      <c r="M742" s="5">
        <v>3773</v>
      </c>
      <c r="N742" s="2" t="s">
        <v>876</v>
      </c>
      <c r="O742" s="5">
        <v>281</v>
      </c>
      <c r="P742" s="2" t="s">
        <v>818</v>
      </c>
      <c r="Q742" s="5">
        <v>1474</v>
      </c>
      <c r="R742" s="2" t="s">
        <v>101</v>
      </c>
      <c r="T742" s="2"/>
    </row>
    <row r="743" spans="1:20" x14ac:dyDescent="0.2">
      <c r="A743" s="103"/>
      <c r="B743" s="44" t="s">
        <v>748</v>
      </c>
      <c r="C743" s="22" t="s">
        <v>818</v>
      </c>
      <c r="D743" s="75" t="s">
        <v>818</v>
      </c>
      <c r="E743" s="5">
        <v>1343</v>
      </c>
      <c r="F743" s="2" t="s">
        <v>883</v>
      </c>
      <c r="G743" s="5">
        <v>122099</v>
      </c>
      <c r="H743" s="2" t="s">
        <v>818</v>
      </c>
      <c r="I743" s="5">
        <v>9282</v>
      </c>
      <c r="J743" s="2" t="s">
        <v>833</v>
      </c>
      <c r="K743" s="5">
        <v>900324</v>
      </c>
      <c r="L743" s="66" t="s">
        <v>838</v>
      </c>
      <c r="M743" s="5">
        <v>3773</v>
      </c>
      <c r="N743" s="2" t="s">
        <v>876</v>
      </c>
      <c r="O743" s="5">
        <v>307</v>
      </c>
      <c r="P743" s="2" t="s">
        <v>818</v>
      </c>
      <c r="Q743" s="5">
        <v>1233</v>
      </c>
      <c r="R743" s="2" t="s">
        <v>812</v>
      </c>
      <c r="T743" s="2"/>
    </row>
    <row r="744" spans="1:20" x14ac:dyDescent="0.2">
      <c r="A744" s="103"/>
      <c r="B744" s="44" t="s">
        <v>747</v>
      </c>
      <c r="C744" s="22" t="s">
        <v>818</v>
      </c>
      <c r="D744" s="75" t="s">
        <v>818</v>
      </c>
      <c r="E744" s="5">
        <v>1351</v>
      </c>
      <c r="F744" s="2" t="s">
        <v>883</v>
      </c>
      <c r="G744" s="5">
        <v>122075</v>
      </c>
      <c r="H744" s="2" t="s">
        <v>818</v>
      </c>
      <c r="I744" s="5">
        <v>7867</v>
      </c>
      <c r="J744" s="2" t="s">
        <v>833</v>
      </c>
      <c r="K744" s="5">
        <v>19697</v>
      </c>
      <c r="L744" s="66" t="s">
        <v>838</v>
      </c>
      <c r="M744" s="5">
        <v>3781</v>
      </c>
      <c r="N744" s="2" t="s">
        <v>876</v>
      </c>
      <c r="O744" s="5">
        <v>297</v>
      </c>
      <c r="P744" s="2" t="s">
        <v>818</v>
      </c>
      <c r="Q744" s="5">
        <v>1371</v>
      </c>
      <c r="R744" s="2" t="s">
        <v>812</v>
      </c>
      <c r="T744" s="2"/>
    </row>
    <row r="745" spans="1:20" x14ac:dyDescent="0.2">
      <c r="A745" s="103"/>
      <c r="B745" s="44" t="s">
        <v>746</v>
      </c>
      <c r="C745" s="22" t="s">
        <v>818</v>
      </c>
      <c r="D745" s="75" t="s">
        <v>818</v>
      </c>
      <c r="E745" s="5">
        <v>1346</v>
      </c>
      <c r="F745" s="2" t="b">
        <v>1</v>
      </c>
      <c r="G745" s="5">
        <v>3386</v>
      </c>
      <c r="H745" s="2" t="s">
        <v>818</v>
      </c>
      <c r="I745" s="5">
        <v>9398</v>
      </c>
      <c r="J745" s="2" t="b">
        <v>1</v>
      </c>
      <c r="K745" s="5">
        <v>4141</v>
      </c>
      <c r="L745" s="66" t="s">
        <v>838</v>
      </c>
      <c r="M745" s="5">
        <v>3797</v>
      </c>
      <c r="N745" s="2" t="s">
        <v>876</v>
      </c>
      <c r="O745" s="5">
        <v>289</v>
      </c>
      <c r="P745" s="2" t="s">
        <v>818</v>
      </c>
      <c r="Q745" s="5">
        <v>1314</v>
      </c>
      <c r="R745" s="2" t="s">
        <v>812</v>
      </c>
      <c r="T745" s="2"/>
    </row>
    <row r="746" spans="1:20" x14ac:dyDescent="0.2">
      <c r="A746" s="103"/>
      <c r="B746" s="28" t="s">
        <v>479</v>
      </c>
      <c r="C746" s="22" t="s">
        <v>818</v>
      </c>
      <c r="D746" s="2" t="s">
        <v>818</v>
      </c>
      <c r="E746" s="5">
        <v>930</v>
      </c>
      <c r="F746" s="2" t="b">
        <v>1</v>
      </c>
      <c r="G746" s="5">
        <v>182344</v>
      </c>
      <c r="H746" s="2" t="s">
        <v>818</v>
      </c>
      <c r="I746" s="5">
        <v>5864</v>
      </c>
      <c r="J746" s="2" t="b">
        <v>1</v>
      </c>
      <c r="K746" s="5">
        <v>2855</v>
      </c>
      <c r="L746" s="4" t="b">
        <v>1</v>
      </c>
      <c r="M746" s="5">
        <v>6523</v>
      </c>
      <c r="N746" s="2" t="s">
        <v>876</v>
      </c>
      <c r="O746" s="5">
        <v>325</v>
      </c>
      <c r="P746" s="2" t="s">
        <v>818</v>
      </c>
      <c r="Q746" s="5">
        <v>4085</v>
      </c>
      <c r="R746" s="2"/>
      <c r="T746" s="2"/>
    </row>
    <row r="747" spans="1:20" x14ac:dyDescent="0.2">
      <c r="A747" s="103"/>
      <c r="B747" s="28" t="s">
        <v>745</v>
      </c>
      <c r="C747" s="22" t="s">
        <v>818</v>
      </c>
      <c r="D747" s="2" t="s">
        <v>818</v>
      </c>
      <c r="E747" s="5">
        <v>408</v>
      </c>
      <c r="F747" s="2" t="b">
        <v>1</v>
      </c>
      <c r="G747" s="5">
        <v>46692</v>
      </c>
      <c r="H747" s="2" t="s">
        <v>818</v>
      </c>
      <c r="I747" s="5">
        <v>3898</v>
      </c>
      <c r="J747" s="2" t="b">
        <v>1</v>
      </c>
      <c r="K747" s="5">
        <v>2389</v>
      </c>
      <c r="L747" s="4" t="s">
        <v>833</v>
      </c>
      <c r="M747" s="5">
        <v>11008</v>
      </c>
      <c r="N747" s="2" t="s">
        <v>876</v>
      </c>
      <c r="O747" s="5">
        <v>309</v>
      </c>
      <c r="P747" s="2" t="s">
        <v>818</v>
      </c>
      <c r="Q747" s="5">
        <v>1729</v>
      </c>
      <c r="R747" s="2"/>
      <c r="T747" s="2"/>
    </row>
    <row r="748" spans="1:20" x14ac:dyDescent="0.2">
      <c r="A748" s="103"/>
      <c r="B748" s="28" t="s">
        <v>465</v>
      </c>
      <c r="C748" s="61" t="s">
        <v>818</v>
      </c>
      <c r="D748" s="2" t="s">
        <v>818</v>
      </c>
      <c r="E748" s="5">
        <v>37037</v>
      </c>
      <c r="F748" s="2" t="b">
        <v>1</v>
      </c>
      <c r="G748" s="5">
        <v>183098</v>
      </c>
      <c r="H748" s="2" t="s">
        <v>838</v>
      </c>
      <c r="I748" s="5">
        <v>26107</v>
      </c>
      <c r="J748" s="2" t="s">
        <v>833</v>
      </c>
      <c r="K748" s="5">
        <v>7283</v>
      </c>
      <c r="L748" s="4" t="s">
        <v>833</v>
      </c>
      <c r="M748" s="5">
        <v>5711</v>
      </c>
      <c r="N748" s="2" t="s">
        <v>823</v>
      </c>
      <c r="O748" s="5">
        <v>341</v>
      </c>
      <c r="P748" s="64" t="s">
        <v>837</v>
      </c>
      <c r="Q748" s="5">
        <v>910088</v>
      </c>
      <c r="R748" s="2"/>
      <c r="T748" s="2"/>
    </row>
    <row r="749" spans="1:20" x14ac:dyDescent="0.2">
      <c r="A749" s="103"/>
      <c r="B749" s="28" t="s">
        <v>461</v>
      </c>
      <c r="C749" s="22" t="s">
        <v>818</v>
      </c>
      <c r="D749" s="2" t="s">
        <v>818</v>
      </c>
      <c r="E749" s="5">
        <v>1429</v>
      </c>
      <c r="F749" s="2" t="b">
        <v>1</v>
      </c>
      <c r="G749" s="5">
        <v>182325</v>
      </c>
      <c r="H749" s="2" t="s">
        <v>818</v>
      </c>
      <c r="I749" s="5">
        <v>35689</v>
      </c>
      <c r="J749" s="2" t="b">
        <v>1</v>
      </c>
      <c r="K749" s="5">
        <v>16821</v>
      </c>
      <c r="L749" s="4" t="b">
        <v>1</v>
      </c>
      <c r="M749" s="5">
        <v>8151</v>
      </c>
      <c r="N749" s="2" t="s">
        <v>823</v>
      </c>
      <c r="O749" s="5">
        <v>1133</v>
      </c>
      <c r="P749" s="2" t="s">
        <v>818</v>
      </c>
      <c r="Q749" s="5">
        <v>3207</v>
      </c>
      <c r="R749" s="2"/>
      <c r="T749" s="2"/>
    </row>
    <row r="750" spans="1:20" x14ac:dyDescent="0.2">
      <c r="A750" s="103"/>
      <c r="B750" s="28" t="s">
        <v>744</v>
      </c>
      <c r="C750" s="22" t="s">
        <v>818</v>
      </c>
      <c r="D750" s="2" t="s">
        <v>818</v>
      </c>
      <c r="E750" s="5">
        <v>1255</v>
      </c>
      <c r="F750" s="2" t="b">
        <v>1</v>
      </c>
      <c r="G750" s="5">
        <v>182938</v>
      </c>
      <c r="H750" s="2" t="s">
        <v>838</v>
      </c>
      <c r="I750" s="5">
        <v>96311</v>
      </c>
      <c r="J750" s="2" t="b">
        <v>1</v>
      </c>
      <c r="K750" s="5">
        <v>16321</v>
      </c>
      <c r="L750" s="4" t="b">
        <v>1</v>
      </c>
      <c r="M750" s="5">
        <v>10400</v>
      </c>
      <c r="N750" s="2" t="s">
        <v>823</v>
      </c>
      <c r="O750" s="5">
        <v>1163</v>
      </c>
      <c r="P750" s="2" t="s">
        <v>818</v>
      </c>
      <c r="Q750" s="5">
        <v>10665</v>
      </c>
      <c r="R750" s="2"/>
      <c r="T750" s="2"/>
    </row>
    <row r="751" spans="1:20" x14ac:dyDescent="0.2">
      <c r="A751" s="103"/>
      <c r="B751" s="28" t="s">
        <v>392</v>
      </c>
      <c r="C751" s="22" t="s">
        <v>818</v>
      </c>
      <c r="D751" s="2" t="s">
        <v>818</v>
      </c>
      <c r="E751" s="5">
        <v>637</v>
      </c>
      <c r="F751" s="2" t="b">
        <v>1</v>
      </c>
      <c r="G751" s="5">
        <v>186236</v>
      </c>
      <c r="H751" s="2" t="s">
        <v>818</v>
      </c>
      <c r="I751" s="5">
        <v>11518</v>
      </c>
      <c r="J751" s="2" t="b">
        <v>1</v>
      </c>
      <c r="K751" s="5">
        <v>3185</v>
      </c>
      <c r="L751" s="4" t="b">
        <v>1</v>
      </c>
      <c r="M751" s="5">
        <v>7461</v>
      </c>
      <c r="N751" s="2" t="s">
        <v>876</v>
      </c>
      <c r="O751" s="5">
        <v>353</v>
      </c>
      <c r="P751" s="2" t="s">
        <v>818</v>
      </c>
      <c r="Q751" s="5">
        <v>10821</v>
      </c>
      <c r="R751" s="2"/>
      <c r="T751" s="2"/>
    </row>
    <row r="752" spans="1:20" x14ac:dyDescent="0.2">
      <c r="A752" s="103"/>
      <c r="B752" s="28" t="s">
        <v>391</v>
      </c>
      <c r="C752" s="22" t="s">
        <v>818</v>
      </c>
      <c r="D752" s="2" t="s">
        <v>818</v>
      </c>
      <c r="E752" s="5">
        <v>429</v>
      </c>
      <c r="F752" s="2" t="b">
        <v>0</v>
      </c>
      <c r="G752" s="5">
        <v>2865</v>
      </c>
      <c r="H752" s="2" t="s">
        <v>818</v>
      </c>
      <c r="I752" s="5">
        <v>11876</v>
      </c>
      <c r="J752" s="2" t="s">
        <v>833</v>
      </c>
      <c r="K752" s="5">
        <v>900299</v>
      </c>
      <c r="L752" s="4" t="b">
        <v>1</v>
      </c>
      <c r="M752" s="5">
        <v>6530</v>
      </c>
      <c r="N752" s="2" t="s">
        <v>823</v>
      </c>
      <c r="O752" s="5">
        <v>665</v>
      </c>
      <c r="P752" s="2" t="s">
        <v>818</v>
      </c>
      <c r="Q752" s="5">
        <v>2664</v>
      </c>
      <c r="R752" s="2"/>
      <c r="T752" s="2"/>
    </row>
    <row r="753" spans="1:20" x14ac:dyDescent="0.2">
      <c r="A753" s="103"/>
      <c r="B753" s="28" t="s">
        <v>743</v>
      </c>
      <c r="C753" s="22" t="s">
        <v>818</v>
      </c>
      <c r="D753" s="2" t="s">
        <v>837</v>
      </c>
      <c r="E753" s="5">
        <v>900453</v>
      </c>
      <c r="F753" s="2" t="b">
        <v>1</v>
      </c>
      <c r="G753" s="5">
        <v>41959</v>
      </c>
      <c r="H753" s="2" t="s">
        <v>818</v>
      </c>
      <c r="I753" s="5">
        <v>6198</v>
      </c>
      <c r="J753" s="2" t="b">
        <v>1</v>
      </c>
      <c r="K753" s="5">
        <v>4435</v>
      </c>
      <c r="L753" s="4" t="s">
        <v>833</v>
      </c>
      <c r="M753" s="5">
        <v>7397</v>
      </c>
      <c r="N753" s="2" t="s">
        <v>823</v>
      </c>
      <c r="O753" s="5">
        <v>515</v>
      </c>
      <c r="P753" s="2" t="s">
        <v>820</v>
      </c>
      <c r="Q753" s="5">
        <v>1736</v>
      </c>
      <c r="R753" s="2"/>
      <c r="S753" s="85"/>
      <c r="T753" s="2"/>
    </row>
    <row r="754" spans="1:20" x14ac:dyDescent="0.2">
      <c r="A754" s="103"/>
      <c r="B754" s="28" t="s">
        <v>742</v>
      </c>
      <c r="C754" s="22" t="s">
        <v>818</v>
      </c>
      <c r="D754" s="2" t="s">
        <v>837</v>
      </c>
      <c r="E754" s="5">
        <v>900601</v>
      </c>
      <c r="F754" s="2" t="b">
        <v>1</v>
      </c>
      <c r="G754" s="5">
        <v>183341</v>
      </c>
      <c r="H754" s="2" t="s">
        <v>818</v>
      </c>
      <c r="I754" s="5">
        <v>22847</v>
      </c>
      <c r="J754" s="2" t="b">
        <v>1</v>
      </c>
      <c r="K754" s="5">
        <v>11748</v>
      </c>
      <c r="L754" s="4" t="s">
        <v>833</v>
      </c>
      <c r="M754" s="5">
        <v>8431</v>
      </c>
      <c r="N754" s="2" t="s">
        <v>823</v>
      </c>
      <c r="O754" s="5">
        <v>692</v>
      </c>
      <c r="P754" s="2" t="s">
        <v>820</v>
      </c>
      <c r="Q754" s="5">
        <v>1789</v>
      </c>
      <c r="R754" s="2"/>
      <c r="S754" s="85"/>
      <c r="T754" s="2"/>
    </row>
    <row r="755" spans="1:20" x14ac:dyDescent="0.2">
      <c r="A755" s="103"/>
      <c r="B755" s="28" t="s">
        <v>741</v>
      </c>
      <c r="C755" s="22" t="s">
        <v>818</v>
      </c>
      <c r="D755" s="2" t="s">
        <v>837</v>
      </c>
      <c r="E755" s="5">
        <v>901208</v>
      </c>
      <c r="F755" s="2" t="b">
        <v>1</v>
      </c>
      <c r="G755" s="5">
        <v>47553</v>
      </c>
      <c r="H755" s="2" t="s">
        <v>818</v>
      </c>
      <c r="I755" s="5">
        <v>4564</v>
      </c>
      <c r="J755" s="2" t="b">
        <v>1</v>
      </c>
      <c r="K755" s="5">
        <v>3231</v>
      </c>
      <c r="L755" s="4" t="s">
        <v>833</v>
      </c>
      <c r="M755" s="5">
        <v>6350</v>
      </c>
      <c r="N755" s="2" t="s">
        <v>823</v>
      </c>
      <c r="O755" s="5">
        <v>521</v>
      </c>
      <c r="P755" s="2" t="s">
        <v>820</v>
      </c>
      <c r="Q755" s="5">
        <v>1772</v>
      </c>
      <c r="R755" s="2"/>
      <c r="S755" s="85"/>
      <c r="T755" s="2"/>
    </row>
    <row r="756" spans="1:20" x14ac:dyDescent="0.2">
      <c r="A756" s="103"/>
      <c r="B756" s="28" t="s">
        <v>740</v>
      </c>
      <c r="C756" s="22" t="s">
        <v>818</v>
      </c>
      <c r="D756" s="2" t="s">
        <v>818</v>
      </c>
      <c r="E756" s="5">
        <v>2036</v>
      </c>
      <c r="F756" s="2" t="b">
        <v>1</v>
      </c>
      <c r="G756" s="5">
        <v>182765</v>
      </c>
      <c r="H756" s="2" t="s">
        <v>818</v>
      </c>
      <c r="I756" s="5">
        <v>7326</v>
      </c>
      <c r="J756" s="2" t="b">
        <v>1</v>
      </c>
      <c r="K756" s="5">
        <v>4892</v>
      </c>
      <c r="L756" s="4" t="s">
        <v>833</v>
      </c>
      <c r="M756" s="5">
        <v>7875</v>
      </c>
      <c r="N756" s="2" t="s">
        <v>876</v>
      </c>
      <c r="O756" s="5">
        <v>581</v>
      </c>
      <c r="P756" s="2" t="s">
        <v>818</v>
      </c>
      <c r="Q756" s="5">
        <v>1481</v>
      </c>
      <c r="R756" s="2"/>
      <c r="S756" s="85"/>
      <c r="T756" s="2"/>
    </row>
    <row r="757" spans="1:20" x14ac:dyDescent="0.2">
      <c r="A757" s="103"/>
      <c r="B757" s="28" t="s">
        <v>739</v>
      </c>
      <c r="C757" s="22" t="s">
        <v>818</v>
      </c>
      <c r="D757" s="2" t="s">
        <v>837</v>
      </c>
      <c r="E757" s="5">
        <v>901320</v>
      </c>
      <c r="F757" s="2" t="b">
        <v>1</v>
      </c>
      <c r="G757" s="5">
        <v>182964</v>
      </c>
      <c r="H757" s="2" t="s">
        <v>818</v>
      </c>
      <c r="I757" s="5">
        <v>16180</v>
      </c>
      <c r="J757" s="2" t="b">
        <v>1</v>
      </c>
      <c r="K757" s="5">
        <v>10419</v>
      </c>
      <c r="L757" s="4" t="s">
        <v>833</v>
      </c>
      <c r="M757" s="5">
        <v>8620</v>
      </c>
      <c r="N757" s="2" t="s">
        <v>823</v>
      </c>
      <c r="O757" s="5">
        <v>615</v>
      </c>
      <c r="P757" s="2" t="s">
        <v>820</v>
      </c>
      <c r="Q757" s="5">
        <v>2180</v>
      </c>
      <c r="R757" s="2"/>
      <c r="S757" s="85"/>
      <c r="T757" s="2"/>
    </row>
    <row r="758" spans="1:20" x14ac:dyDescent="0.2">
      <c r="A758" s="103"/>
      <c r="B758" s="28" t="s">
        <v>738</v>
      </c>
      <c r="C758" s="22" t="s">
        <v>818</v>
      </c>
      <c r="D758" s="2" t="s">
        <v>837</v>
      </c>
      <c r="E758" s="5">
        <v>901382</v>
      </c>
      <c r="F758" s="2" t="b">
        <v>1</v>
      </c>
      <c r="G758" s="5">
        <v>183158</v>
      </c>
      <c r="H758" s="2" t="s">
        <v>818</v>
      </c>
      <c r="I758" s="5">
        <v>17243</v>
      </c>
      <c r="J758" s="2" t="b">
        <v>1</v>
      </c>
      <c r="K758" s="5">
        <v>10116</v>
      </c>
      <c r="L758" s="4" t="s">
        <v>833</v>
      </c>
      <c r="M758" s="5">
        <v>8481</v>
      </c>
      <c r="N758" s="2" t="s">
        <v>823</v>
      </c>
      <c r="O758" s="5">
        <v>655</v>
      </c>
      <c r="P758" s="2" t="s">
        <v>820</v>
      </c>
      <c r="Q758" s="5">
        <v>1919</v>
      </c>
      <c r="R758" s="2"/>
      <c r="S758" s="85"/>
      <c r="T758" s="2"/>
    </row>
    <row r="759" spans="1:20" x14ac:dyDescent="0.2">
      <c r="A759" s="103"/>
      <c r="B759" s="28" t="s">
        <v>737</v>
      </c>
      <c r="C759" s="22" t="s">
        <v>818</v>
      </c>
      <c r="D759" s="2" t="s">
        <v>837</v>
      </c>
      <c r="E759" s="5">
        <v>901260</v>
      </c>
      <c r="F759" s="2" t="b">
        <v>1</v>
      </c>
      <c r="G759" s="5">
        <v>39253</v>
      </c>
      <c r="H759" s="2" t="s">
        <v>818</v>
      </c>
      <c r="I759" s="5">
        <v>5367</v>
      </c>
      <c r="J759" s="2" t="b">
        <v>1</v>
      </c>
      <c r="K759" s="5">
        <v>3935</v>
      </c>
      <c r="L759" s="4" t="s">
        <v>833</v>
      </c>
      <c r="M759" s="5">
        <v>6566</v>
      </c>
      <c r="N759" s="2" t="s">
        <v>823</v>
      </c>
      <c r="O759" s="5">
        <v>513</v>
      </c>
      <c r="P759" s="2" t="s">
        <v>820</v>
      </c>
      <c r="Q759" s="5">
        <v>1409</v>
      </c>
      <c r="R759" s="2"/>
      <c r="S759" s="85"/>
      <c r="T759" s="2"/>
    </row>
    <row r="760" spans="1:20" x14ac:dyDescent="0.2">
      <c r="A760" s="103"/>
      <c r="B760" s="28" t="s">
        <v>382</v>
      </c>
      <c r="C760" s="22" t="s">
        <v>818</v>
      </c>
      <c r="D760" s="2" t="s">
        <v>818</v>
      </c>
      <c r="E760" s="5">
        <v>3842</v>
      </c>
      <c r="F760" s="2" t="b">
        <v>1</v>
      </c>
      <c r="G760" s="5">
        <v>182427</v>
      </c>
      <c r="H760" s="2" t="s">
        <v>838</v>
      </c>
      <c r="I760" s="5">
        <v>21855</v>
      </c>
      <c r="J760" s="2" t="b">
        <v>1</v>
      </c>
      <c r="K760" s="5">
        <v>6614</v>
      </c>
      <c r="L760" s="4" t="b">
        <v>1</v>
      </c>
      <c r="M760" s="5">
        <v>7928</v>
      </c>
      <c r="N760" s="2" t="s">
        <v>823</v>
      </c>
      <c r="O760" s="5">
        <v>494</v>
      </c>
      <c r="P760" s="2" t="s">
        <v>818</v>
      </c>
      <c r="Q760" s="5">
        <v>3746</v>
      </c>
      <c r="R760" s="2"/>
      <c r="T760" s="2"/>
    </row>
    <row r="761" spans="1:20" x14ac:dyDescent="0.2">
      <c r="A761" s="103"/>
      <c r="B761" s="28" t="s">
        <v>380</v>
      </c>
      <c r="C761" s="22" t="s">
        <v>818</v>
      </c>
      <c r="D761" s="2" t="s">
        <v>818</v>
      </c>
      <c r="E761" s="5">
        <v>2946</v>
      </c>
      <c r="F761" s="2" t="b">
        <v>1</v>
      </c>
      <c r="G761" s="5">
        <v>188669</v>
      </c>
      <c r="H761" s="2" t="s">
        <v>818</v>
      </c>
      <c r="I761" s="5">
        <v>6643</v>
      </c>
      <c r="J761" s="2" t="b">
        <v>1</v>
      </c>
      <c r="K761" s="5">
        <v>3177</v>
      </c>
      <c r="L761" s="4" t="s">
        <v>833</v>
      </c>
      <c r="M761" s="5">
        <v>901977</v>
      </c>
      <c r="N761" s="2" t="s">
        <v>823</v>
      </c>
      <c r="O761" s="5">
        <v>338</v>
      </c>
      <c r="P761" s="2" t="s">
        <v>818</v>
      </c>
      <c r="Q761" s="5">
        <v>30239</v>
      </c>
      <c r="R761" s="2"/>
      <c r="T761" s="2"/>
    </row>
    <row r="762" spans="1:20" x14ac:dyDescent="0.2">
      <c r="A762" s="103"/>
      <c r="B762" s="28" t="s">
        <v>379</v>
      </c>
      <c r="C762" s="22" t="s">
        <v>818</v>
      </c>
      <c r="D762" s="2" t="s">
        <v>818</v>
      </c>
      <c r="E762" s="5">
        <v>4801</v>
      </c>
      <c r="F762" s="2" t="b">
        <v>1</v>
      </c>
      <c r="G762" s="5">
        <v>183049</v>
      </c>
      <c r="H762" s="2" t="s">
        <v>818</v>
      </c>
      <c r="I762" s="5">
        <v>7027</v>
      </c>
      <c r="J762" s="2" t="b">
        <v>1</v>
      </c>
      <c r="K762" s="5">
        <v>4305</v>
      </c>
      <c r="L762" s="4" t="s">
        <v>837</v>
      </c>
      <c r="M762" s="5">
        <v>911846</v>
      </c>
      <c r="N762" s="2" t="s">
        <v>823</v>
      </c>
      <c r="O762" s="5">
        <v>362</v>
      </c>
      <c r="P762" s="64" t="s">
        <v>837</v>
      </c>
      <c r="Q762" s="5">
        <v>910073</v>
      </c>
      <c r="R762" s="2"/>
      <c r="T762" s="2"/>
    </row>
    <row r="763" spans="1:20" s="8" customFormat="1" ht="21" thickBot="1" x14ac:dyDescent="0.25">
      <c r="A763" s="104"/>
      <c r="B763" s="30" t="s">
        <v>371</v>
      </c>
      <c r="C763" s="23" t="s">
        <v>818</v>
      </c>
      <c r="D763" s="9" t="s">
        <v>818</v>
      </c>
      <c r="E763" s="7">
        <v>35328</v>
      </c>
      <c r="F763" s="6" t="b">
        <v>1</v>
      </c>
      <c r="G763" s="7">
        <v>205925</v>
      </c>
      <c r="H763" s="9" t="s">
        <v>838</v>
      </c>
      <c r="I763" s="7">
        <v>23163</v>
      </c>
      <c r="J763" s="9" t="b">
        <v>1</v>
      </c>
      <c r="K763" s="7">
        <v>3960</v>
      </c>
      <c r="L763" s="6" t="b">
        <v>1</v>
      </c>
      <c r="M763" s="7">
        <v>9278</v>
      </c>
      <c r="N763" s="9" t="s">
        <v>823</v>
      </c>
      <c r="O763" s="7">
        <v>473</v>
      </c>
      <c r="P763" s="9" t="s">
        <v>837</v>
      </c>
      <c r="Q763" s="7">
        <v>910081</v>
      </c>
      <c r="R763" s="9"/>
      <c r="S763" s="9"/>
      <c r="T763" s="9"/>
    </row>
    <row r="764" spans="1:20" x14ac:dyDescent="0.2">
      <c r="A764" s="102" t="s">
        <v>763</v>
      </c>
      <c r="B764" s="28" t="s">
        <v>795</v>
      </c>
      <c r="C764" s="22" t="s">
        <v>820</v>
      </c>
      <c r="D764" s="2" t="s">
        <v>820</v>
      </c>
      <c r="E764" s="5">
        <v>1634</v>
      </c>
      <c r="F764" s="2" t="s">
        <v>883</v>
      </c>
      <c r="G764" s="5">
        <v>301838</v>
      </c>
      <c r="H764" s="75" t="s">
        <v>820</v>
      </c>
      <c r="I764" s="5">
        <v>52189</v>
      </c>
      <c r="J764" s="2" t="b">
        <v>0</v>
      </c>
      <c r="K764" s="5">
        <v>2523</v>
      </c>
      <c r="L764" s="4" t="s">
        <v>833</v>
      </c>
      <c r="M764" s="5">
        <v>901072</v>
      </c>
      <c r="N764" s="2" t="s">
        <v>823</v>
      </c>
      <c r="O764" s="5">
        <v>632</v>
      </c>
      <c r="P764" s="2" t="s">
        <v>837</v>
      </c>
      <c r="Q764" s="5">
        <v>910065</v>
      </c>
      <c r="R764" s="2"/>
      <c r="T764" s="2"/>
    </row>
    <row r="765" spans="1:20" x14ac:dyDescent="0.2">
      <c r="A765" s="103"/>
      <c r="B765" s="44" t="s">
        <v>794</v>
      </c>
      <c r="C765" s="22" t="s">
        <v>820</v>
      </c>
      <c r="D765" s="2" t="s">
        <v>819</v>
      </c>
      <c r="E765" s="5">
        <v>1327</v>
      </c>
      <c r="F765" s="2" t="s">
        <v>883</v>
      </c>
      <c r="G765" s="5">
        <v>121892</v>
      </c>
      <c r="H765" s="2" t="s">
        <v>838</v>
      </c>
      <c r="I765" s="5">
        <v>15010</v>
      </c>
      <c r="J765" s="2" t="b">
        <v>0</v>
      </c>
      <c r="K765" s="5">
        <v>2748</v>
      </c>
      <c r="L765" s="66" t="s">
        <v>838</v>
      </c>
      <c r="M765" s="5">
        <v>4032</v>
      </c>
      <c r="N765" s="2" t="s">
        <v>876</v>
      </c>
      <c r="O765" s="5">
        <v>304</v>
      </c>
      <c r="P765" s="2" t="s">
        <v>818</v>
      </c>
      <c r="Q765" s="5">
        <v>1057</v>
      </c>
      <c r="R765" s="2" t="s">
        <v>101</v>
      </c>
      <c r="T765" s="2"/>
    </row>
    <row r="766" spans="1:20" x14ac:dyDescent="0.2">
      <c r="A766" s="103"/>
      <c r="B766" s="44" t="s">
        <v>793</v>
      </c>
      <c r="C766" s="22" t="s">
        <v>818</v>
      </c>
      <c r="D766" s="2" t="s">
        <v>819</v>
      </c>
      <c r="E766" s="5">
        <v>1312</v>
      </c>
      <c r="F766" s="2" t="s">
        <v>883</v>
      </c>
      <c r="G766" s="5">
        <v>121597</v>
      </c>
      <c r="H766" s="2" t="s">
        <v>818</v>
      </c>
      <c r="I766" s="5">
        <v>14100</v>
      </c>
      <c r="J766" s="2" t="s">
        <v>833</v>
      </c>
      <c r="K766" s="5">
        <v>902546</v>
      </c>
      <c r="L766" s="66" t="s">
        <v>838</v>
      </c>
      <c r="M766" s="5">
        <v>3845</v>
      </c>
      <c r="N766" s="2" t="s">
        <v>876</v>
      </c>
      <c r="O766" s="5">
        <v>271</v>
      </c>
      <c r="P766" s="2" t="s">
        <v>818</v>
      </c>
      <c r="Q766" s="5">
        <v>1520</v>
      </c>
      <c r="R766" s="2" t="s">
        <v>101</v>
      </c>
      <c r="T766" s="2"/>
    </row>
    <row r="767" spans="1:20" x14ac:dyDescent="0.2">
      <c r="A767" s="103"/>
      <c r="B767" s="28" t="s">
        <v>792</v>
      </c>
      <c r="C767" s="22" t="s">
        <v>820</v>
      </c>
      <c r="D767" s="2" t="s">
        <v>820</v>
      </c>
      <c r="E767" s="5">
        <v>1778</v>
      </c>
      <c r="F767" s="2" t="b">
        <v>0</v>
      </c>
      <c r="G767" s="5">
        <v>2014</v>
      </c>
      <c r="H767" s="75" t="s">
        <v>820</v>
      </c>
      <c r="I767" s="5">
        <v>6381</v>
      </c>
      <c r="J767" s="2" t="b">
        <v>0</v>
      </c>
      <c r="K767" s="5">
        <v>3243</v>
      </c>
      <c r="L767" s="4" t="s">
        <v>833</v>
      </c>
      <c r="M767" s="5">
        <v>901059</v>
      </c>
      <c r="N767" s="2" t="s">
        <v>823</v>
      </c>
      <c r="O767" s="5">
        <v>317</v>
      </c>
      <c r="P767" s="2" t="s">
        <v>820</v>
      </c>
      <c r="Q767" s="5">
        <v>2358</v>
      </c>
      <c r="R767" s="2"/>
      <c r="T767" s="2"/>
    </row>
    <row r="768" spans="1:20" x14ac:dyDescent="0.2">
      <c r="A768" s="103"/>
      <c r="B768" s="28" t="s">
        <v>791</v>
      </c>
      <c r="C768" s="22" t="s">
        <v>820</v>
      </c>
      <c r="D768" s="2" t="s">
        <v>820</v>
      </c>
      <c r="E768" s="5">
        <v>1754</v>
      </c>
      <c r="F768" s="2" t="b">
        <v>0</v>
      </c>
      <c r="G768" s="5">
        <v>1997</v>
      </c>
      <c r="H768" s="75" t="s">
        <v>820</v>
      </c>
      <c r="I768" s="5">
        <v>5823</v>
      </c>
      <c r="J768" s="2" t="b">
        <v>0</v>
      </c>
      <c r="K768" s="5">
        <v>2639</v>
      </c>
      <c r="L768" s="4" t="s">
        <v>833</v>
      </c>
      <c r="M768" s="5">
        <v>901208</v>
      </c>
      <c r="N768" s="2" t="s">
        <v>823</v>
      </c>
      <c r="O768" s="5">
        <v>296</v>
      </c>
      <c r="P768" s="2" t="s">
        <v>820</v>
      </c>
      <c r="Q768" s="5">
        <v>1407</v>
      </c>
      <c r="R768" s="2"/>
      <c r="T768" s="2"/>
    </row>
    <row r="769" spans="1:20" x14ac:dyDescent="0.2">
      <c r="A769" s="103"/>
      <c r="B769" s="28" t="s">
        <v>790</v>
      </c>
      <c r="C769" s="22" t="s">
        <v>820</v>
      </c>
      <c r="D769" s="2" t="s">
        <v>820</v>
      </c>
      <c r="E769" s="5">
        <v>1503</v>
      </c>
      <c r="F769" s="2" t="b">
        <v>0</v>
      </c>
      <c r="G769" s="5">
        <v>2014</v>
      </c>
      <c r="H769" s="75" t="s">
        <v>820</v>
      </c>
      <c r="I769" s="5">
        <v>5667</v>
      </c>
      <c r="J769" s="2" t="b">
        <v>0</v>
      </c>
      <c r="K769" s="5">
        <v>2462</v>
      </c>
      <c r="L769" s="4" t="s">
        <v>833</v>
      </c>
      <c r="M769" s="5">
        <v>901226</v>
      </c>
      <c r="N769" s="2" t="s">
        <v>823</v>
      </c>
      <c r="O769" s="5">
        <v>287</v>
      </c>
      <c r="P769" s="2" t="s">
        <v>820</v>
      </c>
      <c r="Q769" s="5">
        <v>2327</v>
      </c>
      <c r="R769" s="2"/>
      <c r="T769" s="2"/>
    </row>
    <row r="770" spans="1:20" x14ac:dyDescent="0.2">
      <c r="A770" s="103"/>
      <c r="B770" s="28" t="s">
        <v>789</v>
      </c>
      <c r="C770" s="22" t="s">
        <v>818</v>
      </c>
      <c r="D770" s="2" t="s">
        <v>818</v>
      </c>
      <c r="E770" s="5">
        <v>1529</v>
      </c>
      <c r="F770" s="2" t="b">
        <v>1</v>
      </c>
      <c r="G770" s="5">
        <v>52598</v>
      </c>
      <c r="H770" s="2" t="s">
        <v>818</v>
      </c>
      <c r="I770" s="5">
        <v>2968</v>
      </c>
      <c r="J770" s="2" t="b">
        <v>1</v>
      </c>
      <c r="K770" s="5">
        <v>3606</v>
      </c>
      <c r="L770" s="4" t="s">
        <v>833</v>
      </c>
      <c r="M770" s="5">
        <v>5855</v>
      </c>
      <c r="N770" s="2" t="s">
        <v>823</v>
      </c>
      <c r="O770" s="5">
        <v>299</v>
      </c>
      <c r="P770" s="2" t="s">
        <v>818</v>
      </c>
      <c r="Q770" s="5">
        <v>1975</v>
      </c>
      <c r="R770" s="2"/>
      <c r="T770" s="2"/>
    </row>
    <row r="771" spans="1:20" x14ac:dyDescent="0.2">
      <c r="A771" s="103"/>
      <c r="B771" s="28" t="s">
        <v>788</v>
      </c>
      <c r="C771" s="22" t="s">
        <v>818</v>
      </c>
      <c r="D771" s="2" t="s">
        <v>818</v>
      </c>
      <c r="E771" s="5">
        <v>4438</v>
      </c>
      <c r="F771" s="2" t="b">
        <v>1</v>
      </c>
      <c r="G771" s="5">
        <v>183700</v>
      </c>
      <c r="H771" s="2" t="s">
        <v>818</v>
      </c>
      <c r="I771" s="5">
        <v>9044</v>
      </c>
      <c r="J771" s="2" t="b">
        <v>1</v>
      </c>
      <c r="K771" s="5">
        <v>4913</v>
      </c>
      <c r="L771" s="4" t="s">
        <v>837</v>
      </c>
      <c r="M771" s="5">
        <v>911809</v>
      </c>
      <c r="N771" s="2" t="s">
        <v>823</v>
      </c>
      <c r="O771" s="5">
        <v>52706</v>
      </c>
      <c r="P771" s="2" t="s">
        <v>818</v>
      </c>
      <c r="Q771" s="5">
        <v>14012</v>
      </c>
      <c r="R771" s="2"/>
      <c r="T771" s="2"/>
    </row>
    <row r="772" spans="1:20" x14ac:dyDescent="0.2">
      <c r="A772" s="103"/>
      <c r="B772" s="44" t="s">
        <v>787</v>
      </c>
      <c r="C772" s="22" t="s">
        <v>820</v>
      </c>
      <c r="D772" s="75" t="s">
        <v>820</v>
      </c>
      <c r="E772" s="5">
        <v>1334</v>
      </c>
      <c r="F772" s="2" t="s">
        <v>883</v>
      </c>
      <c r="G772" s="5">
        <v>122172</v>
      </c>
      <c r="H772" s="2" t="s">
        <v>819</v>
      </c>
      <c r="I772" s="5">
        <v>10777</v>
      </c>
      <c r="J772" s="2" t="b">
        <v>0</v>
      </c>
      <c r="K772" s="5">
        <v>5859</v>
      </c>
      <c r="L772" s="66" t="s">
        <v>838</v>
      </c>
      <c r="M772" s="5">
        <v>4091</v>
      </c>
      <c r="N772" s="2" t="s">
        <v>876</v>
      </c>
      <c r="O772" s="5">
        <v>283</v>
      </c>
      <c r="P772" s="2" t="s">
        <v>818</v>
      </c>
      <c r="Q772" s="5">
        <v>1649</v>
      </c>
      <c r="R772" s="2" t="s">
        <v>812</v>
      </c>
      <c r="T772" s="2"/>
    </row>
    <row r="773" spans="1:20" x14ac:dyDescent="0.2">
      <c r="A773" s="103"/>
      <c r="B773" s="28" t="s">
        <v>786</v>
      </c>
      <c r="C773" s="22" t="s">
        <v>820</v>
      </c>
      <c r="D773" s="2" t="s">
        <v>820</v>
      </c>
      <c r="E773" s="5">
        <v>2644</v>
      </c>
      <c r="F773" s="2" t="s">
        <v>883</v>
      </c>
      <c r="G773" s="5">
        <v>301944</v>
      </c>
      <c r="H773" s="75" t="s">
        <v>820</v>
      </c>
      <c r="I773" s="5">
        <v>12869</v>
      </c>
      <c r="J773" s="2" t="b">
        <v>0</v>
      </c>
      <c r="K773" s="5">
        <v>2664</v>
      </c>
      <c r="L773" s="4" t="s">
        <v>833</v>
      </c>
      <c r="M773" s="5">
        <v>901156</v>
      </c>
      <c r="N773" s="2" t="s">
        <v>823</v>
      </c>
      <c r="O773" s="5">
        <v>392</v>
      </c>
      <c r="P773" s="2" t="s">
        <v>820</v>
      </c>
      <c r="Q773" s="5">
        <v>3388</v>
      </c>
      <c r="R773" s="2"/>
      <c r="T773" s="2"/>
    </row>
    <row r="774" spans="1:20" x14ac:dyDescent="0.2">
      <c r="A774" s="103"/>
      <c r="B774" s="28" t="s">
        <v>785</v>
      </c>
      <c r="C774" s="22" t="s">
        <v>820</v>
      </c>
      <c r="D774" s="2" t="s">
        <v>820</v>
      </c>
      <c r="E774" s="5">
        <v>2477</v>
      </c>
      <c r="F774" s="2" t="s">
        <v>883</v>
      </c>
      <c r="G774" s="5">
        <v>301857</v>
      </c>
      <c r="H774" s="76" t="s">
        <v>820</v>
      </c>
      <c r="I774" s="5">
        <v>910040</v>
      </c>
      <c r="J774" s="2" t="b">
        <v>0</v>
      </c>
      <c r="K774" s="5">
        <v>3578</v>
      </c>
      <c r="L774" s="4" t="s">
        <v>833</v>
      </c>
      <c r="M774" s="5">
        <v>901165</v>
      </c>
      <c r="N774" s="2" t="s">
        <v>823</v>
      </c>
      <c r="O774" s="5">
        <v>369</v>
      </c>
      <c r="P774" s="2" t="s">
        <v>820</v>
      </c>
      <c r="Q774" s="5">
        <v>4455</v>
      </c>
      <c r="R774" s="2"/>
      <c r="T774" s="2"/>
    </row>
    <row r="775" spans="1:20" x14ac:dyDescent="0.2">
      <c r="A775" s="103"/>
      <c r="B775" s="28" t="s">
        <v>784</v>
      </c>
      <c r="C775" s="22" t="s">
        <v>818</v>
      </c>
      <c r="D775" s="2" t="s">
        <v>818</v>
      </c>
      <c r="E775" s="5">
        <v>2668</v>
      </c>
      <c r="F775" s="2" t="b">
        <v>1</v>
      </c>
      <c r="G775" s="5">
        <v>182377</v>
      </c>
      <c r="H775" s="2" t="s">
        <v>818</v>
      </c>
      <c r="I775" s="5">
        <v>7310</v>
      </c>
      <c r="J775" s="2" t="s">
        <v>833</v>
      </c>
      <c r="K775" s="5">
        <v>27023</v>
      </c>
      <c r="L775" s="4" t="s">
        <v>833</v>
      </c>
      <c r="M775" s="5">
        <v>905016</v>
      </c>
      <c r="N775" s="2" t="s">
        <v>823</v>
      </c>
      <c r="O775" s="5">
        <v>6041</v>
      </c>
      <c r="P775" s="2" t="s">
        <v>818</v>
      </c>
      <c r="Q775" s="5">
        <v>3280</v>
      </c>
      <c r="R775" s="2"/>
      <c r="T775" s="2"/>
    </row>
    <row r="776" spans="1:20" x14ac:dyDescent="0.2">
      <c r="A776" s="103"/>
      <c r="B776" s="28" t="s">
        <v>783</v>
      </c>
      <c r="C776" s="22" t="s">
        <v>818</v>
      </c>
      <c r="D776" s="2" t="s">
        <v>818</v>
      </c>
      <c r="E776" s="5">
        <v>1656</v>
      </c>
      <c r="F776" s="2" t="b">
        <v>1</v>
      </c>
      <c r="G776" s="5">
        <v>182351</v>
      </c>
      <c r="H776" s="2" t="s">
        <v>837</v>
      </c>
      <c r="I776" s="5">
        <v>900284</v>
      </c>
      <c r="J776" s="2" t="s">
        <v>833</v>
      </c>
      <c r="K776" s="5">
        <v>17057</v>
      </c>
      <c r="L776" s="4" t="b">
        <v>1</v>
      </c>
      <c r="M776" s="5">
        <v>6720</v>
      </c>
      <c r="N776" s="2" t="s">
        <v>876</v>
      </c>
      <c r="O776" s="5">
        <v>339</v>
      </c>
      <c r="P776" s="2" t="s">
        <v>818</v>
      </c>
      <c r="Q776" s="5">
        <v>2596</v>
      </c>
      <c r="R776" s="2"/>
      <c r="T776" s="2"/>
    </row>
    <row r="777" spans="1:20" x14ac:dyDescent="0.2">
      <c r="A777" s="103"/>
      <c r="B777" s="28" t="s">
        <v>782</v>
      </c>
      <c r="C777" s="22" t="s">
        <v>820</v>
      </c>
      <c r="D777" s="2" t="s">
        <v>820</v>
      </c>
      <c r="E777" s="5">
        <v>2719</v>
      </c>
      <c r="F777" s="2" t="s">
        <v>883</v>
      </c>
      <c r="G777" s="5">
        <v>301844</v>
      </c>
      <c r="H777" s="75" t="s">
        <v>820</v>
      </c>
      <c r="I777" s="5">
        <v>62851</v>
      </c>
      <c r="J777" s="2" t="b">
        <v>0</v>
      </c>
      <c r="K777" s="5">
        <v>2669</v>
      </c>
      <c r="L777" s="4" t="s">
        <v>833</v>
      </c>
      <c r="M777" s="5">
        <v>901224</v>
      </c>
      <c r="N777" s="2" t="s">
        <v>823</v>
      </c>
      <c r="O777" s="5">
        <v>550</v>
      </c>
      <c r="P777" s="64" t="s">
        <v>837</v>
      </c>
      <c r="Q777" s="5">
        <v>910075</v>
      </c>
      <c r="R777" s="2"/>
      <c r="T777" s="2"/>
    </row>
    <row r="778" spans="1:20" x14ac:dyDescent="0.2">
      <c r="A778" s="103"/>
      <c r="B778" s="28" t="s">
        <v>781</v>
      </c>
      <c r="C778" s="22" t="s">
        <v>820</v>
      </c>
      <c r="D778" s="2" t="s">
        <v>820</v>
      </c>
      <c r="E778" s="5">
        <v>3002</v>
      </c>
      <c r="F778" s="2" t="s">
        <v>883</v>
      </c>
      <c r="G778" s="5">
        <v>301884</v>
      </c>
      <c r="H778" s="76" t="s">
        <v>820</v>
      </c>
      <c r="I778" s="5">
        <v>910045</v>
      </c>
      <c r="J778" s="2" t="b">
        <v>0</v>
      </c>
      <c r="K778" s="5">
        <v>2737</v>
      </c>
      <c r="L778" s="4" t="s">
        <v>833</v>
      </c>
      <c r="M778" s="5">
        <v>899791</v>
      </c>
      <c r="N778" s="2" t="s">
        <v>823</v>
      </c>
      <c r="O778" s="5">
        <v>1165</v>
      </c>
      <c r="P778" s="64" t="s">
        <v>837</v>
      </c>
      <c r="Q778" s="5">
        <v>910061</v>
      </c>
      <c r="R778" s="2"/>
      <c r="T778" s="2"/>
    </row>
    <row r="779" spans="1:20" x14ac:dyDescent="0.2">
      <c r="A779" s="103"/>
      <c r="B779" s="28" t="s">
        <v>780</v>
      </c>
      <c r="C779" s="22" t="s">
        <v>820</v>
      </c>
      <c r="D779" s="2" t="s">
        <v>820</v>
      </c>
      <c r="E779" s="5">
        <v>2669</v>
      </c>
      <c r="F779" s="2" t="b">
        <v>1</v>
      </c>
      <c r="G779" s="5">
        <v>184222</v>
      </c>
      <c r="H779" s="75" t="s">
        <v>820</v>
      </c>
      <c r="I779" s="5">
        <v>21346</v>
      </c>
      <c r="J779" s="2" t="s">
        <v>833</v>
      </c>
      <c r="K779" s="5">
        <v>11243</v>
      </c>
      <c r="L779" s="4" t="s">
        <v>833</v>
      </c>
      <c r="M779" s="5">
        <v>6228</v>
      </c>
      <c r="N779" s="2" t="s">
        <v>823</v>
      </c>
      <c r="O779" s="5">
        <v>2798</v>
      </c>
      <c r="P779" s="64" t="s">
        <v>837</v>
      </c>
      <c r="Q779" s="5">
        <v>910064</v>
      </c>
      <c r="R779" s="2"/>
      <c r="T779" s="2"/>
    </row>
    <row r="780" spans="1:20" x14ac:dyDescent="0.2">
      <c r="A780" s="103"/>
      <c r="B780" s="28" t="s">
        <v>779</v>
      </c>
      <c r="C780" s="22" t="s">
        <v>818</v>
      </c>
      <c r="D780" s="2" t="s">
        <v>818</v>
      </c>
      <c r="E780" s="5">
        <v>124196</v>
      </c>
      <c r="F780" s="2" t="b">
        <v>1</v>
      </c>
      <c r="G780" s="5">
        <v>285165</v>
      </c>
      <c r="H780" s="2" t="s">
        <v>818</v>
      </c>
      <c r="I780" s="5">
        <v>7563</v>
      </c>
      <c r="J780" s="2" t="b">
        <v>1</v>
      </c>
      <c r="K780" s="5">
        <v>13813</v>
      </c>
      <c r="L780" s="4" t="b">
        <v>1</v>
      </c>
      <c r="M780" s="5">
        <v>8641</v>
      </c>
      <c r="N780" s="2" t="s">
        <v>876</v>
      </c>
      <c r="O780" s="5">
        <v>323</v>
      </c>
      <c r="P780" s="64" t="s">
        <v>837</v>
      </c>
      <c r="Q780" s="5">
        <v>910074</v>
      </c>
      <c r="R780" s="2"/>
      <c r="T780" s="2"/>
    </row>
    <row r="781" spans="1:20" x14ac:dyDescent="0.2">
      <c r="A781" s="103"/>
      <c r="B781" s="44" t="s">
        <v>778</v>
      </c>
      <c r="C781" s="22" t="s">
        <v>818</v>
      </c>
      <c r="D781" s="2" t="s">
        <v>819</v>
      </c>
      <c r="E781" s="5">
        <v>1359</v>
      </c>
      <c r="F781" s="2" t="s">
        <v>883</v>
      </c>
      <c r="G781" s="5">
        <v>121842</v>
      </c>
      <c r="H781" s="2" t="s">
        <v>819</v>
      </c>
      <c r="I781" s="5">
        <v>8091</v>
      </c>
      <c r="J781" s="2" t="s">
        <v>833</v>
      </c>
      <c r="K781" s="5">
        <v>900297</v>
      </c>
      <c r="L781" s="66" t="s">
        <v>838</v>
      </c>
      <c r="M781" s="5">
        <v>4034</v>
      </c>
      <c r="N781" s="2" t="s">
        <v>876</v>
      </c>
      <c r="O781" s="5">
        <v>272</v>
      </c>
      <c r="P781" s="2" t="s">
        <v>818</v>
      </c>
      <c r="Q781" s="5">
        <v>3265</v>
      </c>
      <c r="R781" s="2" t="s">
        <v>101</v>
      </c>
      <c r="T781" s="2"/>
    </row>
    <row r="782" spans="1:20" x14ac:dyDescent="0.2">
      <c r="A782" s="103"/>
      <c r="B782" s="44" t="s">
        <v>777</v>
      </c>
      <c r="C782" s="22" t="s">
        <v>820</v>
      </c>
      <c r="D782" s="2" t="s">
        <v>819</v>
      </c>
      <c r="E782" s="5">
        <v>1409</v>
      </c>
      <c r="F782" s="2" t="s">
        <v>883</v>
      </c>
      <c r="G782" s="5">
        <v>122315</v>
      </c>
      <c r="H782" s="2" t="s">
        <v>819</v>
      </c>
      <c r="I782" s="5">
        <v>8191</v>
      </c>
      <c r="J782" s="2" t="b">
        <v>0</v>
      </c>
      <c r="K782" s="5">
        <v>3702</v>
      </c>
      <c r="L782" s="66" t="s">
        <v>838</v>
      </c>
      <c r="M782" s="5">
        <v>4208</v>
      </c>
      <c r="N782" s="2" t="s">
        <v>822</v>
      </c>
      <c r="O782" s="5">
        <v>763</v>
      </c>
      <c r="P782" s="2" t="s">
        <v>818</v>
      </c>
      <c r="Q782" s="5">
        <v>3158</v>
      </c>
      <c r="R782" s="2" t="s">
        <v>101</v>
      </c>
      <c r="T782" s="2"/>
    </row>
    <row r="783" spans="1:20" x14ac:dyDescent="0.2">
      <c r="A783" s="103"/>
      <c r="B783" s="44" t="s">
        <v>776</v>
      </c>
      <c r="C783" s="22" t="s">
        <v>818</v>
      </c>
      <c r="D783" s="2" t="s">
        <v>819</v>
      </c>
      <c r="E783" s="5">
        <v>1359</v>
      </c>
      <c r="F783" s="2" t="s">
        <v>883</v>
      </c>
      <c r="G783" s="5">
        <v>122220</v>
      </c>
      <c r="H783" s="2" t="s">
        <v>818</v>
      </c>
      <c r="I783" s="5">
        <v>7619</v>
      </c>
      <c r="J783" s="2" t="s">
        <v>833</v>
      </c>
      <c r="K783" s="5">
        <v>902378</v>
      </c>
      <c r="L783" s="66" t="s">
        <v>838</v>
      </c>
      <c r="M783" s="5">
        <v>4138</v>
      </c>
      <c r="N783" s="2" t="s">
        <v>822</v>
      </c>
      <c r="O783" s="5">
        <v>783</v>
      </c>
      <c r="P783" s="2" t="s">
        <v>818</v>
      </c>
      <c r="Q783" s="5">
        <v>2944</v>
      </c>
      <c r="R783" s="2" t="s">
        <v>101</v>
      </c>
      <c r="T783" s="2"/>
    </row>
    <row r="784" spans="1:20" x14ac:dyDescent="0.2">
      <c r="A784" s="103"/>
      <c r="B784" s="28" t="s">
        <v>775</v>
      </c>
      <c r="C784" s="22" t="s">
        <v>820</v>
      </c>
      <c r="D784" s="2" t="s">
        <v>820</v>
      </c>
      <c r="E784" s="5">
        <v>666</v>
      </c>
      <c r="F784" s="2" t="s">
        <v>883</v>
      </c>
      <c r="G784" s="5">
        <v>301946</v>
      </c>
      <c r="H784" s="76" t="s">
        <v>820</v>
      </c>
      <c r="I784" s="5">
        <v>900182</v>
      </c>
      <c r="J784" s="2" t="b">
        <v>0</v>
      </c>
      <c r="K784" s="5">
        <v>3473</v>
      </c>
      <c r="L784" s="4" t="s">
        <v>833</v>
      </c>
      <c r="M784" s="5">
        <v>901163</v>
      </c>
      <c r="N784" s="2" t="s">
        <v>823</v>
      </c>
      <c r="O784" s="5">
        <v>444</v>
      </c>
      <c r="P784" s="2" t="s">
        <v>820</v>
      </c>
      <c r="Q784" s="5">
        <v>4277</v>
      </c>
      <c r="R784" s="2"/>
      <c r="T784" s="2"/>
    </row>
    <row r="785" spans="1:20" x14ac:dyDescent="0.2">
      <c r="A785" s="103"/>
      <c r="B785" s="44" t="s">
        <v>774</v>
      </c>
      <c r="C785" s="22" t="s">
        <v>820</v>
      </c>
      <c r="D785" s="2" t="s">
        <v>819</v>
      </c>
      <c r="E785" s="5">
        <v>1352</v>
      </c>
      <c r="F785" s="2" t="s">
        <v>883</v>
      </c>
      <c r="G785" s="5">
        <v>121834</v>
      </c>
      <c r="H785" s="2" t="s">
        <v>819</v>
      </c>
      <c r="I785" s="5">
        <v>8757</v>
      </c>
      <c r="J785" s="2" t="b">
        <v>0</v>
      </c>
      <c r="K785" s="5">
        <v>2900</v>
      </c>
      <c r="L785" s="66" t="s">
        <v>838</v>
      </c>
      <c r="M785" s="5">
        <v>3995</v>
      </c>
      <c r="N785" s="2" t="s">
        <v>876</v>
      </c>
      <c r="O785" s="5">
        <v>295</v>
      </c>
      <c r="P785" s="2" t="s">
        <v>818</v>
      </c>
      <c r="Q785" s="5">
        <v>1969</v>
      </c>
      <c r="R785" s="2" t="s">
        <v>101</v>
      </c>
      <c r="T785" s="2"/>
    </row>
    <row r="786" spans="1:20" x14ac:dyDescent="0.2">
      <c r="A786" s="103"/>
      <c r="B786" s="44" t="s">
        <v>773</v>
      </c>
      <c r="C786" s="22" t="s">
        <v>818</v>
      </c>
      <c r="D786" s="2" t="s">
        <v>819</v>
      </c>
      <c r="E786" s="5">
        <v>1313</v>
      </c>
      <c r="F786" s="2" t="s">
        <v>883</v>
      </c>
      <c r="G786" s="5">
        <v>121838</v>
      </c>
      <c r="H786" s="2" t="s">
        <v>819</v>
      </c>
      <c r="I786" s="5">
        <v>8824</v>
      </c>
      <c r="J786" s="2" t="b">
        <v>1</v>
      </c>
      <c r="K786" s="5">
        <v>15970</v>
      </c>
      <c r="L786" s="66" t="s">
        <v>838</v>
      </c>
      <c r="M786" s="5">
        <v>3820</v>
      </c>
      <c r="N786" s="2" t="s">
        <v>876</v>
      </c>
      <c r="O786" s="5">
        <v>328</v>
      </c>
      <c r="P786" s="2" t="s">
        <v>818</v>
      </c>
      <c r="Q786" s="5">
        <v>1282</v>
      </c>
      <c r="R786" s="2" t="s">
        <v>101</v>
      </c>
      <c r="T786" s="2"/>
    </row>
    <row r="787" spans="1:20" x14ac:dyDescent="0.2">
      <c r="A787" s="103"/>
      <c r="B787" s="44" t="s">
        <v>772</v>
      </c>
      <c r="C787" s="22" t="s">
        <v>818</v>
      </c>
      <c r="D787" s="2" t="s">
        <v>819</v>
      </c>
      <c r="E787" s="5">
        <v>1299</v>
      </c>
      <c r="F787" s="2" t="s">
        <v>883</v>
      </c>
      <c r="G787" s="5">
        <v>121775</v>
      </c>
      <c r="H787" s="2" t="s">
        <v>818</v>
      </c>
      <c r="I787" s="5">
        <v>4941</v>
      </c>
      <c r="J787" s="2" t="b">
        <v>1</v>
      </c>
      <c r="K787" s="5">
        <v>4612</v>
      </c>
      <c r="L787" s="66" t="s">
        <v>838</v>
      </c>
      <c r="M787" s="5">
        <v>3733</v>
      </c>
      <c r="N787" s="2" t="s">
        <v>876</v>
      </c>
      <c r="O787" s="5">
        <v>324</v>
      </c>
      <c r="P787" s="2" t="s">
        <v>818</v>
      </c>
      <c r="Q787" s="5">
        <v>1208</v>
      </c>
      <c r="R787" s="2" t="s">
        <v>101</v>
      </c>
      <c r="T787" s="2"/>
    </row>
    <row r="788" spans="1:20" x14ac:dyDescent="0.2">
      <c r="A788" s="103"/>
      <c r="B788" s="44" t="s">
        <v>771</v>
      </c>
      <c r="C788" s="22" t="s">
        <v>818</v>
      </c>
      <c r="D788" s="2" t="s">
        <v>819</v>
      </c>
      <c r="E788" s="5">
        <v>1318</v>
      </c>
      <c r="F788" s="2" t="s">
        <v>883</v>
      </c>
      <c r="G788" s="5">
        <v>121802</v>
      </c>
      <c r="H788" s="2" t="s">
        <v>818</v>
      </c>
      <c r="I788" s="5">
        <v>7691</v>
      </c>
      <c r="J788" s="2" t="b">
        <v>1</v>
      </c>
      <c r="K788" s="5">
        <v>8213</v>
      </c>
      <c r="L788" s="66" t="s">
        <v>838</v>
      </c>
      <c r="M788" s="5">
        <v>3779</v>
      </c>
      <c r="N788" s="2" t="s">
        <v>876</v>
      </c>
      <c r="O788" s="5">
        <v>329</v>
      </c>
      <c r="P788" s="2" t="s">
        <v>818</v>
      </c>
      <c r="Q788" s="5">
        <v>1313</v>
      </c>
      <c r="R788" s="2" t="s">
        <v>101</v>
      </c>
      <c r="T788" s="2"/>
    </row>
    <row r="789" spans="1:20" x14ac:dyDescent="0.2">
      <c r="A789" s="103"/>
      <c r="B789" s="44" t="s">
        <v>770</v>
      </c>
      <c r="C789" s="22" t="s">
        <v>820</v>
      </c>
      <c r="D789" s="2" t="s">
        <v>819</v>
      </c>
      <c r="E789" s="5">
        <v>1371</v>
      </c>
      <c r="F789" s="2" t="s">
        <v>883</v>
      </c>
      <c r="G789" s="5">
        <v>121719</v>
      </c>
      <c r="H789" s="2" t="s">
        <v>838</v>
      </c>
      <c r="I789" s="5">
        <v>15021</v>
      </c>
      <c r="J789" s="2" t="b">
        <v>0</v>
      </c>
      <c r="K789" s="5">
        <v>2702</v>
      </c>
      <c r="L789" s="66" t="s">
        <v>838</v>
      </c>
      <c r="M789" s="5">
        <v>3681</v>
      </c>
      <c r="N789" s="2" t="s">
        <v>876</v>
      </c>
      <c r="O789" s="5">
        <v>289</v>
      </c>
      <c r="P789" s="2" t="s">
        <v>818</v>
      </c>
      <c r="Q789" s="5">
        <v>1558</v>
      </c>
      <c r="R789" s="2" t="s">
        <v>101</v>
      </c>
      <c r="T789" s="2"/>
    </row>
    <row r="790" spans="1:20" x14ac:dyDescent="0.2">
      <c r="A790" s="103"/>
      <c r="B790" s="44" t="s">
        <v>769</v>
      </c>
      <c r="C790" s="22" t="s">
        <v>820</v>
      </c>
      <c r="D790" s="2" t="s">
        <v>819</v>
      </c>
      <c r="E790" s="5">
        <v>1538</v>
      </c>
      <c r="F790" s="2" t="s">
        <v>883</v>
      </c>
      <c r="G790" s="5">
        <v>121750</v>
      </c>
      <c r="H790" s="2" t="s">
        <v>819</v>
      </c>
      <c r="I790" s="5">
        <v>6063</v>
      </c>
      <c r="J790" s="2" t="b">
        <v>0</v>
      </c>
      <c r="K790" s="5">
        <v>6843</v>
      </c>
      <c r="L790" s="66" t="s">
        <v>838</v>
      </c>
      <c r="M790" s="5">
        <v>3730</v>
      </c>
      <c r="N790" s="2" t="s">
        <v>876</v>
      </c>
      <c r="O790" s="5">
        <v>285</v>
      </c>
      <c r="P790" s="2" t="s">
        <v>818</v>
      </c>
      <c r="Q790" s="5">
        <v>1526</v>
      </c>
      <c r="R790" s="2" t="s">
        <v>101</v>
      </c>
      <c r="T790" s="2"/>
    </row>
    <row r="791" spans="1:20" x14ac:dyDescent="0.2">
      <c r="A791" s="103"/>
      <c r="B791" s="44" t="s">
        <v>768</v>
      </c>
      <c r="C791" s="22" t="s">
        <v>818</v>
      </c>
      <c r="D791" s="2" t="s">
        <v>819</v>
      </c>
      <c r="E791" s="5">
        <v>1458</v>
      </c>
      <c r="F791" s="2" t="b">
        <v>1</v>
      </c>
      <c r="G791" s="5">
        <v>2231</v>
      </c>
      <c r="H791" s="2" t="s">
        <v>818</v>
      </c>
      <c r="I791" s="5">
        <v>6847</v>
      </c>
      <c r="J791" s="2" t="s">
        <v>833</v>
      </c>
      <c r="K791" s="5">
        <v>901138</v>
      </c>
      <c r="L791" s="66" t="s">
        <v>838</v>
      </c>
      <c r="M791" s="5">
        <v>3721</v>
      </c>
      <c r="N791" s="2" t="s">
        <v>876</v>
      </c>
      <c r="O791" s="5">
        <v>272</v>
      </c>
      <c r="P791" s="2" t="s">
        <v>818</v>
      </c>
      <c r="Q791" s="5">
        <v>1427</v>
      </c>
      <c r="R791" s="2" t="s">
        <v>101</v>
      </c>
      <c r="T791" s="2"/>
    </row>
    <row r="792" spans="1:20" x14ac:dyDescent="0.2">
      <c r="A792" s="103"/>
      <c r="B792" s="28" t="s">
        <v>767</v>
      </c>
      <c r="C792" s="22" t="s">
        <v>820</v>
      </c>
      <c r="D792" s="2" t="s">
        <v>820</v>
      </c>
      <c r="E792" s="5">
        <v>542</v>
      </c>
      <c r="F792" s="2" t="b">
        <v>1</v>
      </c>
      <c r="G792" s="5">
        <v>183568</v>
      </c>
      <c r="H792" s="76" t="s">
        <v>820</v>
      </c>
      <c r="I792" s="5">
        <v>900212</v>
      </c>
      <c r="J792" s="2" t="b">
        <v>0</v>
      </c>
      <c r="K792" s="5">
        <v>3685</v>
      </c>
      <c r="L792" s="4" t="s">
        <v>833</v>
      </c>
      <c r="M792" s="5">
        <v>43353</v>
      </c>
      <c r="N792" s="2" t="s">
        <v>823</v>
      </c>
      <c r="O792" s="5">
        <v>483</v>
      </c>
      <c r="P792" s="2" t="s">
        <v>820</v>
      </c>
      <c r="Q792" s="5">
        <v>2098</v>
      </c>
      <c r="R792" s="2"/>
      <c r="T792" s="2"/>
    </row>
    <row r="793" spans="1:20" x14ac:dyDescent="0.2">
      <c r="A793" s="103"/>
      <c r="B793" s="28" t="s">
        <v>766</v>
      </c>
      <c r="C793" s="22" t="s">
        <v>818</v>
      </c>
      <c r="D793" s="2" t="s">
        <v>818</v>
      </c>
      <c r="E793" s="5">
        <v>1228</v>
      </c>
      <c r="F793" s="2" t="b">
        <v>1</v>
      </c>
      <c r="G793" s="5">
        <v>182316</v>
      </c>
      <c r="H793" s="2" t="s">
        <v>838</v>
      </c>
      <c r="I793" s="5">
        <v>23954</v>
      </c>
      <c r="J793" s="2" t="b">
        <v>1</v>
      </c>
      <c r="K793" s="5">
        <v>3180</v>
      </c>
      <c r="L793" s="4" t="b">
        <v>1</v>
      </c>
      <c r="M793" s="5">
        <v>8458</v>
      </c>
      <c r="N793" s="2" t="s">
        <v>823</v>
      </c>
      <c r="O793" s="5">
        <v>613</v>
      </c>
      <c r="P793" s="2" t="s">
        <v>818</v>
      </c>
      <c r="Q793" s="5">
        <v>4059</v>
      </c>
      <c r="R793" s="2"/>
      <c r="T793" s="2"/>
    </row>
    <row r="794" spans="1:20" x14ac:dyDescent="0.2">
      <c r="A794" s="103"/>
      <c r="B794" s="28" t="s">
        <v>765</v>
      </c>
      <c r="C794" s="22" t="s">
        <v>820</v>
      </c>
      <c r="D794" s="2" t="s">
        <v>820</v>
      </c>
      <c r="E794" s="5">
        <v>746</v>
      </c>
      <c r="F794" s="2" t="s">
        <v>883</v>
      </c>
      <c r="G794" s="5">
        <v>301831</v>
      </c>
      <c r="H794" s="2" t="s">
        <v>837</v>
      </c>
      <c r="I794" s="5">
        <v>910034</v>
      </c>
      <c r="J794" s="2" t="b">
        <v>0</v>
      </c>
      <c r="K794" s="5">
        <v>2570</v>
      </c>
      <c r="L794" s="4" t="s">
        <v>833</v>
      </c>
      <c r="M794" s="5">
        <v>901253</v>
      </c>
      <c r="N794" s="2" t="s">
        <v>823</v>
      </c>
      <c r="O794" s="5">
        <v>542</v>
      </c>
      <c r="P794" s="2" t="s">
        <v>820</v>
      </c>
      <c r="Q794" s="5">
        <v>2340</v>
      </c>
      <c r="R794" s="2"/>
      <c r="T794" s="2"/>
    </row>
    <row r="795" spans="1:20" s="8" customFormat="1" ht="21" thickBot="1" x14ac:dyDescent="0.25">
      <c r="A795" s="104"/>
      <c r="B795" s="30" t="s">
        <v>764</v>
      </c>
      <c r="C795" s="23" t="s">
        <v>820</v>
      </c>
      <c r="D795" s="9" t="s">
        <v>820</v>
      </c>
      <c r="E795" s="7">
        <v>754</v>
      </c>
      <c r="F795" s="6" t="b">
        <v>1</v>
      </c>
      <c r="G795" s="7">
        <v>183642</v>
      </c>
      <c r="H795" s="9" t="s">
        <v>837</v>
      </c>
      <c r="I795" s="7">
        <v>910045</v>
      </c>
      <c r="J795" s="9" t="b">
        <v>0</v>
      </c>
      <c r="K795" s="7">
        <v>2534</v>
      </c>
      <c r="L795" s="6" t="s">
        <v>833</v>
      </c>
      <c r="M795" s="7">
        <v>119165</v>
      </c>
      <c r="N795" s="9" t="s">
        <v>823</v>
      </c>
      <c r="O795" s="7">
        <v>561</v>
      </c>
      <c r="P795" s="9" t="s">
        <v>820</v>
      </c>
      <c r="Q795" s="7">
        <v>1786</v>
      </c>
      <c r="R795" s="9"/>
      <c r="S795" s="9"/>
      <c r="T795" s="9"/>
    </row>
    <row r="796" spans="1:20" x14ac:dyDescent="0.2">
      <c r="A796" s="105" t="s">
        <v>796</v>
      </c>
      <c r="B796" s="28" t="s">
        <v>808</v>
      </c>
      <c r="C796" s="22" t="s">
        <v>818</v>
      </c>
      <c r="D796" s="2" t="s">
        <v>818</v>
      </c>
      <c r="E796" s="5">
        <v>26464</v>
      </c>
      <c r="F796" s="2" t="b">
        <v>1</v>
      </c>
      <c r="G796" s="5">
        <v>9254</v>
      </c>
      <c r="H796" s="2" t="s">
        <v>818</v>
      </c>
      <c r="I796" s="5">
        <v>4111</v>
      </c>
      <c r="J796" s="2" t="b">
        <v>1</v>
      </c>
      <c r="K796" s="5">
        <v>15914</v>
      </c>
      <c r="L796" s="4" t="s">
        <v>833</v>
      </c>
      <c r="M796" s="5">
        <v>9048</v>
      </c>
      <c r="N796" s="2" t="s">
        <v>822</v>
      </c>
      <c r="O796" s="5">
        <v>280</v>
      </c>
      <c r="P796" s="2" t="s">
        <v>820</v>
      </c>
      <c r="Q796" s="5">
        <v>1811</v>
      </c>
      <c r="R796" s="2"/>
      <c r="T796" s="2"/>
    </row>
    <row r="797" spans="1:20" x14ac:dyDescent="0.2">
      <c r="A797" s="105"/>
      <c r="B797" s="28" t="s">
        <v>807</v>
      </c>
      <c r="C797" s="22" t="s">
        <v>818</v>
      </c>
      <c r="D797" s="2" t="s">
        <v>818</v>
      </c>
      <c r="E797" s="5">
        <v>462</v>
      </c>
      <c r="F797" s="2" t="s">
        <v>883</v>
      </c>
      <c r="G797" s="5">
        <v>121729</v>
      </c>
      <c r="H797" s="2" t="s">
        <v>818</v>
      </c>
      <c r="I797" s="5">
        <v>4008</v>
      </c>
      <c r="J797" s="2" t="b">
        <v>1</v>
      </c>
      <c r="K797" s="5">
        <v>2652</v>
      </c>
      <c r="L797" s="4" t="s">
        <v>833</v>
      </c>
      <c r="M797" s="5">
        <v>104471</v>
      </c>
      <c r="N797" s="2" t="s">
        <v>823</v>
      </c>
      <c r="O797" s="5">
        <v>297</v>
      </c>
      <c r="P797" s="2" t="s">
        <v>820</v>
      </c>
      <c r="Q797" s="5">
        <v>1957</v>
      </c>
      <c r="R797" s="2"/>
      <c r="S797" s="85"/>
      <c r="T797" s="2"/>
    </row>
    <row r="798" spans="1:20" x14ac:dyDescent="0.2">
      <c r="A798" s="105"/>
      <c r="B798" s="28" t="s">
        <v>806</v>
      </c>
      <c r="C798" s="22" t="s">
        <v>820</v>
      </c>
      <c r="D798" s="2" t="s">
        <v>820</v>
      </c>
      <c r="E798" s="5">
        <v>419</v>
      </c>
      <c r="F798" s="2" t="s">
        <v>883</v>
      </c>
      <c r="G798" s="5">
        <v>121748</v>
      </c>
      <c r="H798" s="2" t="s">
        <v>819</v>
      </c>
      <c r="I798" s="5">
        <v>4844</v>
      </c>
      <c r="J798" s="2" t="b">
        <v>0</v>
      </c>
      <c r="K798" s="5">
        <v>2789</v>
      </c>
      <c r="L798" s="4" t="s">
        <v>833</v>
      </c>
      <c r="M798" s="5">
        <v>102594</v>
      </c>
      <c r="N798" s="2" t="s">
        <v>823</v>
      </c>
      <c r="O798" s="5">
        <v>253</v>
      </c>
      <c r="P798" s="2" t="s">
        <v>820</v>
      </c>
      <c r="Q798" s="5">
        <v>2186</v>
      </c>
      <c r="R798" s="2"/>
      <c r="S798" s="85"/>
      <c r="T798" s="2"/>
    </row>
    <row r="799" spans="1:20" x14ac:dyDescent="0.2">
      <c r="A799" s="105"/>
      <c r="B799" s="28" t="s">
        <v>805</v>
      </c>
      <c r="C799" s="22" t="s">
        <v>818</v>
      </c>
      <c r="D799" s="2" t="s">
        <v>818</v>
      </c>
      <c r="E799" s="5">
        <v>553</v>
      </c>
      <c r="F799" s="2" t="b">
        <v>1</v>
      </c>
      <c r="G799" s="5">
        <v>182273</v>
      </c>
      <c r="H799" s="2" t="s">
        <v>818</v>
      </c>
      <c r="I799" s="5">
        <v>5756</v>
      </c>
      <c r="J799" s="2" t="s">
        <v>833</v>
      </c>
      <c r="K799" s="5">
        <v>11156</v>
      </c>
      <c r="L799" s="4" t="s">
        <v>833</v>
      </c>
      <c r="M799" s="5">
        <v>5770</v>
      </c>
      <c r="N799" s="2" t="s">
        <v>876</v>
      </c>
      <c r="O799" s="5">
        <v>300</v>
      </c>
      <c r="P799" s="2" t="s">
        <v>820</v>
      </c>
      <c r="Q799" s="5">
        <v>2042</v>
      </c>
      <c r="R799" s="2"/>
      <c r="S799" s="85"/>
      <c r="T799" s="2"/>
    </row>
    <row r="800" spans="1:20" x14ac:dyDescent="0.2">
      <c r="A800" s="105"/>
      <c r="B800" s="28" t="s">
        <v>598</v>
      </c>
      <c r="C800" s="22" t="s">
        <v>818</v>
      </c>
      <c r="D800" s="2" t="s">
        <v>818</v>
      </c>
      <c r="E800" s="5">
        <v>502</v>
      </c>
      <c r="F800" s="2" t="b">
        <v>1</v>
      </c>
      <c r="G800" s="5">
        <v>182250</v>
      </c>
      <c r="H800" s="2" t="s">
        <v>818</v>
      </c>
      <c r="I800" s="5">
        <v>4896</v>
      </c>
      <c r="J800" s="2" t="b">
        <v>1</v>
      </c>
      <c r="K800" s="5">
        <v>3228</v>
      </c>
      <c r="L800" s="4" t="b">
        <v>1</v>
      </c>
      <c r="M800" s="5">
        <v>5994</v>
      </c>
      <c r="N800" s="2" t="s">
        <v>876</v>
      </c>
      <c r="O800" s="5">
        <v>286</v>
      </c>
      <c r="P800" s="2" t="s">
        <v>818</v>
      </c>
      <c r="Q800" s="5">
        <v>1661</v>
      </c>
      <c r="R800" s="2"/>
      <c r="T800" s="2"/>
    </row>
    <row r="801" spans="1:20" x14ac:dyDescent="0.2">
      <c r="A801" s="105"/>
      <c r="B801" s="28" t="s">
        <v>589</v>
      </c>
      <c r="C801" s="22" t="s">
        <v>818</v>
      </c>
      <c r="D801" s="2" t="s">
        <v>818</v>
      </c>
      <c r="E801" s="5">
        <v>453</v>
      </c>
      <c r="F801" s="2" t="b">
        <v>1</v>
      </c>
      <c r="G801" s="5">
        <v>182272</v>
      </c>
      <c r="H801" s="2" t="s">
        <v>818</v>
      </c>
      <c r="I801" s="5">
        <v>4258</v>
      </c>
      <c r="J801" s="2" t="b">
        <v>1</v>
      </c>
      <c r="K801" s="5">
        <v>2835</v>
      </c>
      <c r="L801" s="4" t="b">
        <v>1</v>
      </c>
      <c r="M801" s="5">
        <v>5725</v>
      </c>
      <c r="N801" s="2" t="s">
        <v>823</v>
      </c>
      <c r="O801" s="5">
        <v>398</v>
      </c>
      <c r="P801" s="2" t="s">
        <v>818</v>
      </c>
      <c r="Q801" s="5">
        <v>1770</v>
      </c>
      <c r="R801" s="2"/>
      <c r="T801" s="2"/>
    </row>
    <row r="802" spans="1:20" x14ac:dyDescent="0.2">
      <c r="A802" s="105"/>
      <c r="B802" s="28" t="s">
        <v>804</v>
      </c>
      <c r="C802" s="81" t="s">
        <v>820</v>
      </c>
      <c r="D802" s="2" t="s">
        <v>837</v>
      </c>
      <c r="E802" s="5">
        <v>900459</v>
      </c>
      <c r="F802" s="2" t="b">
        <v>1</v>
      </c>
      <c r="G802" s="5">
        <v>182951</v>
      </c>
      <c r="H802" s="2" t="s">
        <v>837</v>
      </c>
      <c r="I802" s="5">
        <v>900204</v>
      </c>
      <c r="J802" s="2" t="s">
        <v>833</v>
      </c>
      <c r="K802" s="5">
        <v>15198</v>
      </c>
      <c r="L802" s="4" t="s">
        <v>833</v>
      </c>
      <c r="M802" s="5">
        <v>14834</v>
      </c>
      <c r="N802" s="2" t="s">
        <v>823</v>
      </c>
      <c r="O802" s="5">
        <v>395</v>
      </c>
      <c r="P802" s="64" t="s">
        <v>837</v>
      </c>
      <c r="Q802" s="5">
        <v>910058</v>
      </c>
      <c r="R802" s="2"/>
      <c r="T802" s="2"/>
    </row>
    <row r="803" spans="1:20" x14ac:dyDescent="0.2">
      <c r="A803" s="105"/>
      <c r="B803" s="28" t="s">
        <v>803</v>
      </c>
      <c r="C803" s="22" t="s">
        <v>820</v>
      </c>
      <c r="D803" s="2" t="s">
        <v>820</v>
      </c>
      <c r="E803" s="5">
        <v>451</v>
      </c>
      <c r="F803" s="2" t="b">
        <v>0</v>
      </c>
      <c r="G803" s="5">
        <v>2049</v>
      </c>
      <c r="H803" s="75" t="s">
        <v>820</v>
      </c>
      <c r="I803" s="5">
        <v>6125</v>
      </c>
      <c r="J803" s="2" t="b">
        <v>0</v>
      </c>
      <c r="K803" s="5">
        <v>2301</v>
      </c>
      <c r="L803" s="4" t="s">
        <v>833</v>
      </c>
      <c r="M803" s="5">
        <v>901015</v>
      </c>
      <c r="N803" s="2" t="s">
        <v>823</v>
      </c>
      <c r="O803" s="5">
        <v>314</v>
      </c>
      <c r="P803" s="2" t="s">
        <v>820</v>
      </c>
      <c r="Q803" s="5">
        <v>3344</v>
      </c>
      <c r="R803" s="2"/>
      <c r="T803" s="2"/>
    </row>
    <row r="804" spans="1:20" x14ac:dyDescent="0.2">
      <c r="A804" s="105"/>
      <c r="B804" s="28" t="s">
        <v>496</v>
      </c>
      <c r="C804" s="22" t="s">
        <v>818</v>
      </c>
      <c r="D804" s="2" t="s">
        <v>818</v>
      </c>
      <c r="E804" s="5">
        <v>958</v>
      </c>
      <c r="F804" s="2" t="b">
        <v>1</v>
      </c>
      <c r="G804" s="5">
        <v>182312</v>
      </c>
      <c r="H804" s="2" t="s">
        <v>818</v>
      </c>
      <c r="I804" s="5">
        <v>10683</v>
      </c>
      <c r="J804" s="2" t="b">
        <v>1</v>
      </c>
      <c r="K804" s="5">
        <v>5812</v>
      </c>
      <c r="L804" s="4" t="b">
        <v>1</v>
      </c>
      <c r="M804" s="5">
        <v>7125</v>
      </c>
      <c r="N804" s="2" t="s">
        <v>823</v>
      </c>
      <c r="O804" s="5">
        <v>596</v>
      </c>
      <c r="P804" s="2" t="s">
        <v>818</v>
      </c>
      <c r="Q804" s="5">
        <v>7839</v>
      </c>
      <c r="R804" s="2"/>
      <c r="T804" s="2"/>
    </row>
    <row r="805" spans="1:20" x14ac:dyDescent="0.2">
      <c r="A805" s="105"/>
      <c r="B805" s="28" t="s">
        <v>802</v>
      </c>
      <c r="C805" s="61" t="s">
        <v>818</v>
      </c>
      <c r="D805" s="2" t="s">
        <v>818</v>
      </c>
      <c r="E805" s="5">
        <v>747</v>
      </c>
      <c r="F805" s="2" t="b">
        <v>0</v>
      </c>
      <c r="G805" s="5">
        <v>2057</v>
      </c>
      <c r="H805" s="2" t="s">
        <v>819</v>
      </c>
      <c r="I805" s="5">
        <v>5116</v>
      </c>
      <c r="J805" s="2" t="b">
        <v>1</v>
      </c>
      <c r="K805" s="5">
        <v>4538</v>
      </c>
      <c r="L805" s="4" t="s">
        <v>837</v>
      </c>
      <c r="M805" s="5">
        <v>911791</v>
      </c>
      <c r="N805" s="2" t="s">
        <v>823</v>
      </c>
      <c r="O805" s="5">
        <v>340</v>
      </c>
      <c r="P805" s="2" t="s">
        <v>820</v>
      </c>
      <c r="Q805" s="5">
        <v>2137</v>
      </c>
      <c r="R805" s="2"/>
      <c r="S805" s="85"/>
      <c r="T805" s="2"/>
    </row>
    <row r="806" spans="1:20" x14ac:dyDescent="0.2">
      <c r="A806" s="105"/>
      <c r="B806" s="28" t="s">
        <v>801</v>
      </c>
      <c r="C806" s="61" t="s">
        <v>818</v>
      </c>
      <c r="D806" s="2" t="s">
        <v>818</v>
      </c>
      <c r="E806" s="5">
        <v>640</v>
      </c>
      <c r="F806" s="2" t="s">
        <v>883</v>
      </c>
      <c r="G806" s="5">
        <v>121745</v>
      </c>
      <c r="H806" s="2" t="s">
        <v>819</v>
      </c>
      <c r="I806" s="5">
        <v>2972</v>
      </c>
      <c r="J806" s="2" t="b">
        <v>1</v>
      </c>
      <c r="K806" s="5">
        <v>7183</v>
      </c>
      <c r="L806" s="4" t="s">
        <v>833</v>
      </c>
      <c r="M806" s="5">
        <v>6423</v>
      </c>
      <c r="N806" s="2" t="s">
        <v>823</v>
      </c>
      <c r="O806" s="5">
        <v>440</v>
      </c>
      <c r="P806" s="2" t="s">
        <v>838</v>
      </c>
      <c r="Q806" s="5">
        <v>1053</v>
      </c>
      <c r="R806" s="2"/>
      <c r="T806" s="2"/>
    </row>
    <row r="807" spans="1:20" x14ac:dyDescent="0.2">
      <c r="A807" s="105"/>
      <c r="B807" s="28" t="s">
        <v>475</v>
      </c>
      <c r="C807" s="22" t="s">
        <v>818</v>
      </c>
      <c r="D807" s="2" t="s">
        <v>818</v>
      </c>
      <c r="E807" s="5">
        <v>527</v>
      </c>
      <c r="F807" s="2" t="b">
        <v>1</v>
      </c>
      <c r="G807" s="5">
        <v>182319</v>
      </c>
      <c r="H807" s="2" t="s">
        <v>818</v>
      </c>
      <c r="I807" s="5">
        <v>4683</v>
      </c>
      <c r="J807" s="2" t="b">
        <v>1</v>
      </c>
      <c r="K807" s="5">
        <v>6233</v>
      </c>
      <c r="L807" s="4" t="s">
        <v>833</v>
      </c>
      <c r="M807" s="5">
        <v>25458</v>
      </c>
      <c r="N807" s="2" t="s">
        <v>823</v>
      </c>
      <c r="O807" s="5">
        <v>449</v>
      </c>
      <c r="P807" s="2" t="s">
        <v>820</v>
      </c>
      <c r="Q807" s="5">
        <v>2105</v>
      </c>
      <c r="R807" s="2"/>
      <c r="T807" s="2"/>
    </row>
    <row r="808" spans="1:20" x14ac:dyDescent="0.2">
      <c r="A808" s="105"/>
      <c r="B808" s="28" t="s">
        <v>470</v>
      </c>
      <c r="C808" s="22" t="s">
        <v>820</v>
      </c>
      <c r="D808" s="2" t="s">
        <v>820</v>
      </c>
      <c r="E808" s="5">
        <v>433</v>
      </c>
      <c r="F808" s="2" t="b">
        <v>0</v>
      </c>
      <c r="G808" s="5">
        <v>2621</v>
      </c>
      <c r="H808" s="75" t="s">
        <v>820</v>
      </c>
      <c r="I808" s="5">
        <v>4072</v>
      </c>
      <c r="J808" s="2" t="b">
        <v>0</v>
      </c>
      <c r="K808" s="5">
        <v>2373</v>
      </c>
      <c r="L808" s="4" t="s">
        <v>833</v>
      </c>
      <c r="M808" s="5">
        <v>5210</v>
      </c>
      <c r="N808" s="2" t="s">
        <v>877</v>
      </c>
      <c r="O808" s="5">
        <v>271</v>
      </c>
      <c r="P808" s="2" t="s">
        <v>820</v>
      </c>
      <c r="Q808" s="5">
        <v>1589</v>
      </c>
      <c r="R808" s="2"/>
      <c r="T808" s="2"/>
    </row>
    <row r="809" spans="1:20" x14ac:dyDescent="0.2">
      <c r="A809" s="105"/>
      <c r="B809" s="28" t="s">
        <v>455</v>
      </c>
      <c r="C809" s="22" t="s">
        <v>818</v>
      </c>
      <c r="D809" s="2" t="s">
        <v>818</v>
      </c>
      <c r="E809" s="5">
        <v>415</v>
      </c>
      <c r="F809" s="2" t="b">
        <v>1</v>
      </c>
      <c r="G809" s="5">
        <v>182314</v>
      </c>
      <c r="H809" s="2" t="s">
        <v>818</v>
      </c>
      <c r="I809" s="5">
        <v>5235</v>
      </c>
      <c r="J809" s="2" t="b">
        <v>1</v>
      </c>
      <c r="K809" s="5">
        <v>2755</v>
      </c>
      <c r="L809" s="4" t="b">
        <v>1</v>
      </c>
      <c r="M809" s="5">
        <v>5752</v>
      </c>
      <c r="N809" s="2" t="s">
        <v>823</v>
      </c>
      <c r="O809" s="5">
        <v>548</v>
      </c>
      <c r="P809" s="2" t="s">
        <v>818</v>
      </c>
      <c r="Q809" s="5">
        <v>2766</v>
      </c>
      <c r="R809" s="2"/>
      <c r="T809" s="2"/>
    </row>
    <row r="810" spans="1:20" x14ac:dyDescent="0.2">
      <c r="A810" s="105"/>
      <c r="B810" s="28" t="s">
        <v>438</v>
      </c>
      <c r="C810" s="22" t="s">
        <v>820</v>
      </c>
      <c r="D810" s="2" t="s">
        <v>820</v>
      </c>
      <c r="E810" s="5">
        <v>5084</v>
      </c>
      <c r="F810" s="2" t="b">
        <v>0</v>
      </c>
      <c r="G810" s="5">
        <v>2010</v>
      </c>
      <c r="H810" s="75" t="s">
        <v>820</v>
      </c>
      <c r="I810" s="5">
        <v>11434</v>
      </c>
      <c r="J810" s="2" t="b">
        <v>0</v>
      </c>
      <c r="K810" s="5">
        <v>2562</v>
      </c>
      <c r="L810" s="4" t="b">
        <v>1</v>
      </c>
      <c r="M810" s="5">
        <v>5759</v>
      </c>
      <c r="N810" s="2" t="s">
        <v>823</v>
      </c>
      <c r="O810" s="5">
        <v>310</v>
      </c>
      <c r="P810" s="2" t="s">
        <v>820</v>
      </c>
      <c r="Q810" s="5">
        <v>7170</v>
      </c>
      <c r="R810" s="2"/>
      <c r="S810" s="85"/>
      <c r="T810" s="2"/>
    </row>
    <row r="811" spans="1:20" x14ac:dyDescent="0.2">
      <c r="A811" s="105"/>
      <c r="B811" s="28" t="s">
        <v>800</v>
      </c>
      <c r="C811" s="61" t="s">
        <v>820</v>
      </c>
      <c r="D811" s="2" t="s">
        <v>820</v>
      </c>
      <c r="E811" s="5">
        <v>525</v>
      </c>
      <c r="F811" s="2" t="s">
        <v>883</v>
      </c>
      <c r="G811" s="5">
        <v>121833</v>
      </c>
      <c r="H811" s="2" t="s">
        <v>819</v>
      </c>
      <c r="I811" s="5">
        <v>3433</v>
      </c>
      <c r="J811" s="2" t="b">
        <v>0</v>
      </c>
      <c r="K811" s="5">
        <v>2518</v>
      </c>
      <c r="L811" s="4" t="s">
        <v>833</v>
      </c>
      <c r="M811" s="5">
        <v>5127</v>
      </c>
      <c r="N811" s="2" t="s">
        <v>823</v>
      </c>
      <c r="O811" s="5">
        <v>408</v>
      </c>
      <c r="P811" s="2" t="s">
        <v>820</v>
      </c>
      <c r="Q811" s="5">
        <v>1638</v>
      </c>
      <c r="R811" s="2"/>
      <c r="S811" s="85"/>
      <c r="T811" s="2"/>
    </row>
    <row r="812" spans="1:20" x14ac:dyDescent="0.2">
      <c r="A812" s="105"/>
      <c r="B812" s="28" t="s">
        <v>436</v>
      </c>
      <c r="C812" s="22" t="s">
        <v>820</v>
      </c>
      <c r="D812" s="2" t="s">
        <v>820</v>
      </c>
      <c r="E812" s="5">
        <v>430</v>
      </c>
      <c r="F812" s="2" t="s">
        <v>883</v>
      </c>
      <c r="G812" s="5">
        <v>301830</v>
      </c>
      <c r="H812" s="75" t="s">
        <v>820</v>
      </c>
      <c r="I812" s="5">
        <v>4765</v>
      </c>
      <c r="J812" s="2" t="b">
        <v>0</v>
      </c>
      <c r="K812" s="5">
        <v>2485</v>
      </c>
      <c r="L812" s="4" t="s">
        <v>833</v>
      </c>
      <c r="M812" s="5">
        <v>7353</v>
      </c>
      <c r="N812" s="2" t="s">
        <v>823</v>
      </c>
      <c r="O812" s="5">
        <v>397</v>
      </c>
      <c r="P812" s="2" t="s">
        <v>820</v>
      </c>
      <c r="Q812" s="5">
        <v>1627</v>
      </c>
      <c r="R812" s="2"/>
      <c r="T812" s="2"/>
    </row>
    <row r="813" spans="1:20" x14ac:dyDescent="0.2">
      <c r="A813" s="105"/>
      <c r="B813" s="28" t="s">
        <v>435</v>
      </c>
      <c r="C813" s="22" t="s">
        <v>820</v>
      </c>
      <c r="D813" s="2" t="s">
        <v>820</v>
      </c>
      <c r="E813" s="5">
        <v>423</v>
      </c>
      <c r="F813" s="2" t="b">
        <v>0</v>
      </c>
      <c r="G813" s="5">
        <v>1985</v>
      </c>
      <c r="H813" s="75" t="s">
        <v>820</v>
      </c>
      <c r="I813" s="5">
        <v>4890</v>
      </c>
      <c r="J813" s="2" t="b">
        <v>0</v>
      </c>
      <c r="K813" s="5">
        <v>2245</v>
      </c>
      <c r="L813" s="4" t="s">
        <v>833</v>
      </c>
      <c r="M813" s="5">
        <v>901113</v>
      </c>
      <c r="N813" s="2" t="s">
        <v>823</v>
      </c>
      <c r="O813" s="5">
        <v>310</v>
      </c>
      <c r="P813" s="2" t="s">
        <v>820</v>
      </c>
      <c r="Q813" s="5">
        <v>1810</v>
      </c>
      <c r="R813" s="2"/>
      <c r="T813" s="2"/>
    </row>
    <row r="814" spans="1:20" x14ac:dyDescent="0.2">
      <c r="A814" s="105"/>
      <c r="B814" s="28" t="s">
        <v>434</v>
      </c>
      <c r="C814" s="22" t="s">
        <v>820</v>
      </c>
      <c r="D814" s="2" t="s">
        <v>820</v>
      </c>
      <c r="E814" s="5">
        <v>455</v>
      </c>
      <c r="F814" s="2" t="s">
        <v>883</v>
      </c>
      <c r="G814" s="5">
        <v>301791</v>
      </c>
      <c r="H814" s="76" t="s">
        <v>820</v>
      </c>
      <c r="I814" s="5">
        <v>910034</v>
      </c>
      <c r="J814" s="2" t="b">
        <v>0</v>
      </c>
      <c r="K814" s="5">
        <v>2491</v>
      </c>
      <c r="L814" s="4" t="s">
        <v>833</v>
      </c>
      <c r="M814" s="5">
        <v>901059</v>
      </c>
      <c r="N814" s="2" t="s">
        <v>823</v>
      </c>
      <c r="O814" s="5">
        <v>392</v>
      </c>
      <c r="P814" s="2" t="s">
        <v>820</v>
      </c>
      <c r="Q814" s="5">
        <v>2220</v>
      </c>
      <c r="R814" s="2"/>
      <c r="T814" s="2"/>
    </row>
    <row r="815" spans="1:20" x14ac:dyDescent="0.2">
      <c r="A815" s="105"/>
      <c r="B815" s="28" t="s">
        <v>433</v>
      </c>
      <c r="C815" s="22" t="s">
        <v>820</v>
      </c>
      <c r="D815" s="2" t="s">
        <v>820</v>
      </c>
      <c r="E815" s="5">
        <v>427</v>
      </c>
      <c r="F815" s="2" t="b">
        <v>0</v>
      </c>
      <c r="G815" s="5">
        <v>2680</v>
      </c>
      <c r="H815" s="75" t="s">
        <v>820</v>
      </c>
      <c r="I815" s="5">
        <v>8552</v>
      </c>
      <c r="J815" s="2" t="b">
        <v>0</v>
      </c>
      <c r="K815" s="5">
        <v>2492</v>
      </c>
      <c r="L815" s="4" t="s">
        <v>833</v>
      </c>
      <c r="M815" s="5">
        <v>900918</v>
      </c>
      <c r="N815" s="2" t="s">
        <v>823</v>
      </c>
      <c r="O815" s="5">
        <v>372</v>
      </c>
      <c r="P815" s="2" t="s">
        <v>820</v>
      </c>
      <c r="Q815" s="5">
        <v>1691</v>
      </c>
      <c r="R815" s="2"/>
      <c r="T815" s="2"/>
    </row>
    <row r="816" spans="1:20" x14ac:dyDescent="0.2">
      <c r="A816" s="105"/>
      <c r="B816" s="28" t="s">
        <v>432</v>
      </c>
      <c r="C816" s="22" t="s">
        <v>820</v>
      </c>
      <c r="D816" s="2" t="s">
        <v>820</v>
      </c>
      <c r="E816" s="5">
        <v>411</v>
      </c>
      <c r="F816" s="2" t="s">
        <v>883</v>
      </c>
      <c r="G816" s="5">
        <v>301757</v>
      </c>
      <c r="H816" s="75" t="s">
        <v>820</v>
      </c>
      <c r="I816" s="5">
        <v>4618</v>
      </c>
      <c r="J816" s="2" t="b">
        <v>0</v>
      </c>
      <c r="K816" s="5">
        <v>2443</v>
      </c>
      <c r="L816" s="4" t="s">
        <v>833</v>
      </c>
      <c r="M816" s="5">
        <v>901003</v>
      </c>
      <c r="N816" s="2" t="s">
        <v>823</v>
      </c>
      <c r="O816" s="5">
        <v>314</v>
      </c>
      <c r="P816" s="2" t="s">
        <v>820</v>
      </c>
      <c r="Q816" s="5">
        <v>2068</v>
      </c>
      <c r="R816" s="2"/>
      <c r="T816" s="2"/>
    </row>
    <row r="817" spans="1:20" x14ac:dyDescent="0.2">
      <c r="A817" s="105"/>
      <c r="B817" s="28" t="s">
        <v>431</v>
      </c>
      <c r="C817" s="22" t="s">
        <v>820</v>
      </c>
      <c r="D817" s="2" t="s">
        <v>820</v>
      </c>
      <c r="E817" s="5">
        <v>444</v>
      </c>
      <c r="F817" s="2" t="b">
        <v>0</v>
      </c>
      <c r="G817" s="5">
        <v>2003</v>
      </c>
      <c r="H817" s="75" t="s">
        <v>820</v>
      </c>
      <c r="I817" s="5">
        <v>4511</v>
      </c>
      <c r="J817" s="2" t="b">
        <v>0</v>
      </c>
      <c r="K817" s="5">
        <v>2315</v>
      </c>
      <c r="L817" s="4" t="s">
        <v>833</v>
      </c>
      <c r="M817" s="5">
        <v>901136</v>
      </c>
      <c r="N817" s="2" t="s">
        <v>823</v>
      </c>
      <c r="O817" s="5">
        <v>322</v>
      </c>
      <c r="P817" s="2" t="s">
        <v>820</v>
      </c>
      <c r="Q817" s="5">
        <v>1957</v>
      </c>
      <c r="R817" s="2"/>
      <c r="T817" s="2"/>
    </row>
    <row r="818" spans="1:20" x14ac:dyDescent="0.2">
      <c r="A818" s="105"/>
      <c r="B818" s="28" t="s">
        <v>430</v>
      </c>
      <c r="C818" s="22" t="s">
        <v>820</v>
      </c>
      <c r="D818" s="2" t="s">
        <v>820</v>
      </c>
      <c r="E818" s="5">
        <v>536</v>
      </c>
      <c r="F818" s="2" t="s">
        <v>883</v>
      </c>
      <c r="G818" s="5">
        <v>301722</v>
      </c>
      <c r="H818" s="75" t="s">
        <v>820</v>
      </c>
      <c r="I818" s="5">
        <v>15163</v>
      </c>
      <c r="J818" s="2" t="b">
        <v>0</v>
      </c>
      <c r="K818" s="5">
        <v>2528</v>
      </c>
      <c r="L818" s="4" t="s">
        <v>833</v>
      </c>
      <c r="M818" s="5">
        <v>901115</v>
      </c>
      <c r="N818" s="2" t="s">
        <v>823</v>
      </c>
      <c r="O818" s="5">
        <v>394</v>
      </c>
      <c r="P818" s="2" t="s">
        <v>820</v>
      </c>
      <c r="Q818" s="5">
        <v>2493</v>
      </c>
      <c r="R818" s="2"/>
      <c r="T818" s="2"/>
    </row>
    <row r="819" spans="1:20" x14ac:dyDescent="0.2">
      <c r="A819" s="105"/>
      <c r="B819" s="28" t="s">
        <v>429</v>
      </c>
      <c r="C819" s="22" t="s">
        <v>820</v>
      </c>
      <c r="D819" s="2" t="s">
        <v>820</v>
      </c>
      <c r="E819" s="5">
        <v>424</v>
      </c>
      <c r="F819" s="2" t="b">
        <v>0</v>
      </c>
      <c r="G819" s="5">
        <v>1999</v>
      </c>
      <c r="H819" s="75" t="s">
        <v>820</v>
      </c>
      <c r="I819" s="5">
        <v>4729</v>
      </c>
      <c r="J819" s="2" t="b">
        <v>0</v>
      </c>
      <c r="K819" s="5">
        <v>2275</v>
      </c>
      <c r="L819" s="4" t="s">
        <v>833</v>
      </c>
      <c r="M819" s="5">
        <v>901195</v>
      </c>
      <c r="N819" s="2" t="s">
        <v>823</v>
      </c>
      <c r="O819" s="5">
        <v>309</v>
      </c>
      <c r="P819" s="2" t="s">
        <v>820</v>
      </c>
      <c r="Q819" s="5">
        <v>1792</v>
      </c>
      <c r="R819" s="2"/>
      <c r="T819" s="2"/>
    </row>
    <row r="820" spans="1:20" x14ac:dyDescent="0.2">
      <c r="A820" s="105"/>
      <c r="B820" s="28" t="s">
        <v>426</v>
      </c>
      <c r="C820" s="22" t="s">
        <v>818</v>
      </c>
      <c r="D820" s="2" t="s">
        <v>818</v>
      </c>
      <c r="E820" s="5">
        <v>9780</v>
      </c>
      <c r="F820" s="2" t="s">
        <v>883</v>
      </c>
      <c r="G820" s="5">
        <v>301918</v>
      </c>
      <c r="H820" s="2" t="s">
        <v>818</v>
      </c>
      <c r="I820" s="5">
        <v>7920</v>
      </c>
      <c r="J820" s="2" t="b">
        <v>1</v>
      </c>
      <c r="K820" s="5">
        <v>3739</v>
      </c>
      <c r="L820" s="4" t="b">
        <v>1</v>
      </c>
      <c r="M820" s="5">
        <v>6277</v>
      </c>
      <c r="N820" s="2" t="s">
        <v>823</v>
      </c>
      <c r="O820" s="5">
        <v>378</v>
      </c>
      <c r="P820" s="2" t="s">
        <v>818</v>
      </c>
      <c r="Q820" s="5">
        <v>25860</v>
      </c>
      <c r="R820" s="2"/>
      <c r="S820" s="85"/>
      <c r="T820" s="2"/>
    </row>
    <row r="821" spans="1:20" x14ac:dyDescent="0.2">
      <c r="A821" s="105"/>
      <c r="B821" s="28" t="s">
        <v>424</v>
      </c>
      <c r="C821" s="22" t="s">
        <v>818</v>
      </c>
      <c r="D821" s="2" t="s">
        <v>818</v>
      </c>
      <c r="E821" s="5">
        <v>514</v>
      </c>
      <c r="F821" s="2" t="b">
        <v>1</v>
      </c>
      <c r="G821" s="5">
        <v>182968</v>
      </c>
      <c r="H821" s="2" t="s">
        <v>818</v>
      </c>
      <c r="I821" s="5">
        <v>6784</v>
      </c>
      <c r="J821" s="2" t="b">
        <v>1</v>
      </c>
      <c r="K821" s="5">
        <v>3098</v>
      </c>
      <c r="L821" s="4" t="b">
        <v>1</v>
      </c>
      <c r="M821" s="5">
        <v>6432</v>
      </c>
      <c r="N821" s="2" t="s">
        <v>876</v>
      </c>
      <c r="O821" s="5">
        <v>308</v>
      </c>
      <c r="P821" s="2" t="s">
        <v>818</v>
      </c>
      <c r="Q821" s="5">
        <v>3986</v>
      </c>
      <c r="R821" s="2"/>
      <c r="T821" s="2"/>
    </row>
    <row r="822" spans="1:20" x14ac:dyDescent="0.2">
      <c r="A822" s="105"/>
      <c r="B822" s="28" t="s">
        <v>388</v>
      </c>
      <c r="C822" s="22" t="s">
        <v>818</v>
      </c>
      <c r="D822" s="2" t="s">
        <v>818</v>
      </c>
      <c r="E822" s="5">
        <v>1790</v>
      </c>
      <c r="F822" s="2" t="b">
        <v>1</v>
      </c>
      <c r="G822" s="5">
        <v>273341</v>
      </c>
      <c r="H822" s="2" t="s">
        <v>838</v>
      </c>
      <c r="I822" s="5">
        <v>17301</v>
      </c>
      <c r="J822" s="2" t="s">
        <v>838</v>
      </c>
      <c r="K822" s="5">
        <v>58538</v>
      </c>
      <c r="L822" s="4" t="s">
        <v>833</v>
      </c>
      <c r="M822" s="5">
        <v>901245</v>
      </c>
      <c r="N822" s="2" t="s">
        <v>823</v>
      </c>
      <c r="O822" s="5">
        <v>782</v>
      </c>
      <c r="P822" s="2" t="s">
        <v>838</v>
      </c>
      <c r="Q822" s="5">
        <v>8105</v>
      </c>
      <c r="R822" s="2"/>
      <c r="T822" s="2"/>
    </row>
    <row r="823" spans="1:20" x14ac:dyDescent="0.2">
      <c r="A823" s="105"/>
      <c r="B823" s="44" t="s">
        <v>799</v>
      </c>
      <c r="C823" s="22" t="s">
        <v>818</v>
      </c>
      <c r="D823" s="2" t="s">
        <v>819</v>
      </c>
      <c r="E823" s="5">
        <v>1349</v>
      </c>
      <c r="F823" s="2" t="b">
        <v>1</v>
      </c>
      <c r="G823" s="5">
        <v>6365</v>
      </c>
      <c r="H823" s="2" t="s">
        <v>818</v>
      </c>
      <c r="I823" s="5">
        <v>8017</v>
      </c>
      <c r="J823" s="2" t="b">
        <v>1</v>
      </c>
      <c r="K823" s="5">
        <v>6931</v>
      </c>
      <c r="L823" s="4" t="s">
        <v>838</v>
      </c>
      <c r="M823" s="5">
        <v>3755</v>
      </c>
      <c r="N823" s="2" t="s">
        <v>876</v>
      </c>
      <c r="O823" s="5">
        <v>290</v>
      </c>
      <c r="P823" s="2" t="s">
        <v>818</v>
      </c>
      <c r="Q823" s="5">
        <v>1915</v>
      </c>
      <c r="R823" s="2" t="s">
        <v>812</v>
      </c>
      <c r="T823" s="2"/>
    </row>
    <row r="824" spans="1:20" x14ac:dyDescent="0.2">
      <c r="A824" s="105"/>
      <c r="B824" s="44" t="s">
        <v>798</v>
      </c>
      <c r="C824" s="22" t="s">
        <v>820</v>
      </c>
      <c r="D824" s="75" t="s">
        <v>820</v>
      </c>
      <c r="E824" s="5">
        <v>1326</v>
      </c>
      <c r="F824" s="2" t="s">
        <v>883</v>
      </c>
      <c r="G824" s="5">
        <v>121482</v>
      </c>
      <c r="H824" s="75" t="s">
        <v>820</v>
      </c>
      <c r="I824" s="5">
        <v>6622</v>
      </c>
      <c r="J824" s="2" t="b">
        <v>0</v>
      </c>
      <c r="K824" s="5">
        <v>2328</v>
      </c>
      <c r="L824" s="4" t="s">
        <v>838</v>
      </c>
      <c r="M824" s="5">
        <v>3699</v>
      </c>
      <c r="N824" s="2" t="s">
        <v>876</v>
      </c>
      <c r="O824" s="5">
        <v>288</v>
      </c>
      <c r="P824" s="2" t="s">
        <v>818</v>
      </c>
      <c r="Q824" s="5">
        <v>1239</v>
      </c>
      <c r="R824" s="2" t="s">
        <v>812</v>
      </c>
      <c r="T824" s="2"/>
    </row>
    <row r="825" spans="1:20" x14ac:dyDescent="0.2">
      <c r="A825" s="105"/>
      <c r="B825" s="28" t="s">
        <v>387</v>
      </c>
      <c r="C825" s="22" t="s">
        <v>820</v>
      </c>
      <c r="D825" s="2" t="s">
        <v>820</v>
      </c>
      <c r="E825" s="5">
        <v>462</v>
      </c>
      <c r="F825" s="2" t="b">
        <v>0</v>
      </c>
      <c r="G825" s="5">
        <v>1995</v>
      </c>
      <c r="H825" s="75" t="s">
        <v>820</v>
      </c>
      <c r="I825" s="5">
        <v>4824</v>
      </c>
      <c r="J825" s="2" t="b">
        <v>0</v>
      </c>
      <c r="K825" s="5">
        <v>2196</v>
      </c>
      <c r="L825" s="4" t="s">
        <v>833</v>
      </c>
      <c r="M825" s="5">
        <v>5085</v>
      </c>
      <c r="N825" s="2" t="s">
        <v>877</v>
      </c>
      <c r="O825" s="5">
        <v>311</v>
      </c>
      <c r="P825" s="2" t="s">
        <v>820</v>
      </c>
      <c r="Q825" s="5">
        <v>1689</v>
      </c>
      <c r="R825" s="2"/>
      <c r="T825" s="2"/>
    </row>
    <row r="826" spans="1:20" x14ac:dyDescent="0.2">
      <c r="A826" s="105"/>
      <c r="B826" s="28" t="s">
        <v>385</v>
      </c>
      <c r="C826" s="22" t="s">
        <v>818</v>
      </c>
      <c r="D826" s="2" t="s">
        <v>818</v>
      </c>
      <c r="E826" s="5">
        <v>446</v>
      </c>
      <c r="F826" s="2" t="b">
        <v>1</v>
      </c>
      <c r="G826" s="5">
        <v>182294</v>
      </c>
      <c r="H826" s="2" t="s">
        <v>818</v>
      </c>
      <c r="I826" s="5">
        <v>5010</v>
      </c>
      <c r="J826" s="2" t="b">
        <v>1</v>
      </c>
      <c r="K826" s="5">
        <v>3072</v>
      </c>
      <c r="L826" s="4" t="b">
        <v>1</v>
      </c>
      <c r="M826" s="5">
        <v>5632</v>
      </c>
      <c r="N826" s="2" t="s">
        <v>876</v>
      </c>
      <c r="O826" s="5">
        <v>295</v>
      </c>
      <c r="P826" s="2" t="s">
        <v>818</v>
      </c>
      <c r="Q826" s="5">
        <v>2220</v>
      </c>
      <c r="R826" s="2"/>
      <c r="T826" s="2"/>
    </row>
    <row r="827" spans="1:20" x14ac:dyDescent="0.2">
      <c r="A827" s="105"/>
      <c r="B827" s="28" t="s">
        <v>797</v>
      </c>
      <c r="C827" s="22" t="s">
        <v>818</v>
      </c>
      <c r="D827" s="2" t="s">
        <v>818</v>
      </c>
      <c r="E827" s="5">
        <v>431</v>
      </c>
      <c r="F827" s="2" t="s">
        <v>883</v>
      </c>
      <c r="G827" s="5">
        <v>121773</v>
      </c>
      <c r="H827" s="2" t="s">
        <v>818</v>
      </c>
      <c r="I827" s="5">
        <v>3917</v>
      </c>
      <c r="J827" s="2" t="b">
        <v>1</v>
      </c>
      <c r="K827" s="5">
        <v>2701</v>
      </c>
      <c r="L827" s="4" t="s">
        <v>833</v>
      </c>
      <c r="M827" s="5">
        <v>5847</v>
      </c>
      <c r="N827" s="2" t="s">
        <v>876</v>
      </c>
      <c r="O827" s="5">
        <v>451</v>
      </c>
      <c r="P827" s="2" t="s">
        <v>820</v>
      </c>
      <c r="Q827" s="5">
        <v>2054</v>
      </c>
      <c r="R827" s="2"/>
      <c r="S827" s="85"/>
      <c r="T827" s="2"/>
    </row>
    <row r="828" spans="1:20" x14ac:dyDescent="0.2">
      <c r="A828" s="105"/>
      <c r="B828" s="28" t="s">
        <v>367</v>
      </c>
      <c r="C828" s="22" t="s">
        <v>818</v>
      </c>
      <c r="D828" s="2" t="s">
        <v>818</v>
      </c>
      <c r="E828" s="5">
        <v>439</v>
      </c>
      <c r="F828" s="2" t="b">
        <v>1</v>
      </c>
      <c r="G828" s="5">
        <v>1463</v>
      </c>
      <c r="H828" s="2" t="s">
        <v>818</v>
      </c>
      <c r="I828" s="5">
        <v>2435</v>
      </c>
      <c r="J828" s="2" t="b">
        <v>1</v>
      </c>
      <c r="K828" s="5">
        <v>2178</v>
      </c>
      <c r="L828" s="4" t="b">
        <v>1</v>
      </c>
      <c r="M828" s="5">
        <v>4117</v>
      </c>
      <c r="N828" s="2" t="s">
        <v>823</v>
      </c>
      <c r="O828" s="5">
        <v>269</v>
      </c>
      <c r="P828" s="2" t="s">
        <v>818</v>
      </c>
      <c r="Q828" s="5">
        <v>1224</v>
      </c>
      <c r="R828" s="2"/>
      <c r="T828" s="2"/>
    </row>
    <row r="829" spans="1:20" x14ac:dyDescent="0.2">
      <c r="A829" s="105"/>
      <c r="B829" s="28" t="s">
        <v>360</v>
      </c>
      <c r="C829" s="22" t="s">
        <v>820</v>
      </c>
      <c r="D829" s="2" t="s">
        <v>820</v>
      </c>
      <c r="E829" s="5">
        <v>446</v>
      </c>
      <c r="F829" s="2" t="s">
        <v>883</v>
      </c>
      <c r="G829" s="5">
        <v>16250</v>
      </c>
      <c r="H829" s="75" t="s">
        <v>820</v>
      </c>
      <c r="I829" s="5">
        <v>3661</v>
      </c>
      <c r="J829" s="2" t="b">
        <v>0</v>
      </c>
      <c r="K829" s="5">
        <v>2178</v>
      </c>
      <c r="L829" s="4" t="s">
        <v>833</v>
      </c>
      <c r="M829" s="5">
        <v>4737</v>
      </c>
      <c r="N829" s="2" t="s">
        <v>877</v>
      </c>
      <c r="O829" s="5">
        <v>276</v>
      </c>
      <c r="P829" s="2" t="s">
        <v>820</v>
      </c>
      <c r="Q829" s="5">
        <v>1404</v>
      </c>
      <c r="R829" s="2"/>
      <c r="T829" s="2"/>
    </row>
  </sheetData>
  <sortState xmlns:xlrd2="http://schemas.microsoft.com/office/spreadsheetml/2017/richdata2" ref="B796:B829">
    <sortCondition ref="B796:B829"/>
  </sortState>
  <mergeCells count="17">
    <mergeCell ref="F1:G1"/>
    <mergeCell ref="P1:Q1"/>
    <mergeCell ref="N1:O1"/>
    <mergeCell ref="L1:M1"/>
    <mergeCell ref="J1:K1"/>
    <mergeCell ref="H1:I1"/>
    <mergeCell ref="D1:E1"/>
    <mergeCell ref="A668:A763"/>
    <mergeCell ref="A567:A667"/>
    <mergeCell ref="A764:A795"/>
    <mergeCell ref="A796:A829"/>
    <mergeCell ref="A233:A250"/>
    <mergeCell ref="A251:A566"/>
    <mergeCell ref="A2:A128"/>
    <mergeCell ref="A129:A155"/>
    <mergeCell ref="A156:A225"/>
    <mergeCell ref="A226:A23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A523-FD63-3642-BDE8-95BF1E7685A9}">
  <dimension ref="A1:AI119"/>
  <sheetViews>
    <sheetView zoomScale="80" zoomScaleNormal="80" workbookViewId="0"/>
  </sheetViews>
  <sheetFormatPr baseColWidth="10" defaultColWidth="10.83203125" defaultRowHeight="20" x14ac:dyDescent="0.2"/>
  <cols>
    <col min="1" max="1" width="5.83203125" style="20" customWidth="1"/>
    <col min="2" max="2" width="50.83203125" style="26" customWidth="1"/>
    <col min="3" max="3" width="15.83203125" style="4" customWidth="1"/>
    <col min="4" max="4" width="15.83203125" style="2" customWidth="1"/>
    <col min="5" max="5" width="15.83203125" style="16" customWidth="1"/>
    <col min="6" max="6" width="15.83203125" style="18" customWidth="1"/>
    <col min="7" max="7" width="15.83203125" style="14" customWidth="1"/>
    <col min="8" max="8" width="15.83203125" customWidth="1"/>
    <col min="9" max="9" width="15.83203125" style="14" customWidth="1"/>
    <col min="10" max="10" width="15.83203125" customWidth="1"/>
    <col min="11" max="11" width="15.83203125" style="14" customWidth="1"/>
    <col min="12" max="12" width="15.83203125" customWidth="1"/>
    <col min="13" max="13" width="15.83203125" style="14" customWidth="1"/>
    <col min="14" max="14" width="15.83203125" customWidth="1"/>
    <col min="15" max="15" width="15.83203125" style="14" customWidth="1"/>
    <col min="16" max="16" width="15.83203125" customWidth="1"/>
    <col min="17" max="17" width="15.83203125" style="16" customWidth="1"/>
    <col min="18" max="18" width="15.83203125" style="18" customWidth="1"/>
    <col min="19" max="19" width="15.83203125" style="16" customWidth="1"/>
    <col min="20" max="20" width="15.83203125" style="2" customWidth="1"/>
    <col min="21" max="21" width="15.83203125" style="4" customWidth="1"/>
    <col min="22" max="22" width="15.83203125" style="2" customWidth="1"/>
    <col min="23" max="23" width="15.83203125" style="4" customWidth="1"/>
    <col min="24" max="24" width="15.83203125" style="2" customWidth="1"/>
    <col min="25" max="25" width="15.83203125" style="4" customWidth="1"/>
    <col min="26" max="26" width="15.83203125" style="2" customWidth="1"/>
    <col min="27" max="27" width="40.83203125" style="4" customWidth="1"/>
    <col min="28" max="28" width="15.83203125" style="2" customWidth="1"/>
    <col min="29" max="32" width="10.83203125" style="2"/>
    <col min="33" max="35" width="10.83203125" style="18"/>
    <col min="36" max="16384" width="10.83203125" style="2"/>
  </cols>
  <sheetData>
    <row r="1" spans="1:28" s="3" customFormat="1" ht="220" customHeight="1" thickBot="1" x14ac:dyDescent="0.25">
      <c r="A1" s="17"/>
      <c r="B1" s="15" t="s">
        <v>100</v>
      </c>
      <c r="C1" s="100" t="s">
        <v>873</v>
      </c>
      <c r="D1" s="101"/>
      <c r="E1" s="100" t="s">
        <v>874</v>
      </c>
      <c r="F1" s="106"/>
      <c r="G1" s="100" t="s">
        <v>879</v>
      </c>
      <c r="H1" s="111"/>
      <c r="I1" s="100" t="s">
        <v>878</v>
      </c>
      <c r="J1" s="106"/>
      <c r="K1" s="100" t="s">
        <v>881</v>
      </c>
      <c r="L1" s="101"/>
      <c r="M1" s="100" t="s">
        <v>880</v>
      </c>
      <c r="N1" s="110"/>
      <c r="O1" s="109" t="s">
        <v>882</v>
      </c>
      <c r="P1" s="101"/>
      <c r="Q1" s="109" t="s">
        <v>633</v>
      </c>
      <c r="R1" s="101"/>
      <c r="S1" s="109" t="s">
        <v>835</v>
      </c>
      <c r="T1" s="101"/>
      <c r="U1" s="109" t="s">
        <v>631</v>
      </c>
      <c r="V1" s="101"/>
      <c r="W1" s="107" t="s">
        <v>632</v>
      </c>
      <c r="X1" s="108"/>
      <c r="Y1" s="107" t="s">
        <v>816</v>
      </c>
      <c r="Z1" s="108"/>
      <c r="AA1" s="19"/>
    </row>
    <row r="2" spans="1:28" x14ac:dyDescent="0.2">
      <c r="A2" s="103" t="s">
        <v>809</v>
      </c>
      <c r="B2" s="27" t="s">
        <v>0</v>
      </c>
      <c r="C2" s="70" t="s">
        <v>820</v>
      </c>
      <c r="D2" s="2">
        <v>735</v>
      </c>
      <c r="E2" s="4" t="s">
        <v>820</v>
      </c>
      <c r="F2" s="2">
        <v>2458</v>
      </c>
      <c r="G2" s="4" t="s">
        <v>820</v>
      </c>
      <c r="H2" s="2">
        <v>366</v>
      </c>
      <c r="I2" s="4" t="b">
        <v>1</v>
      </c>
      <c r="J2" s="2">
        <v>5352</v>
      </c>
      <c r="K2" s="4" t="str">
        <f>IF(OR(E2="NO", E2="YES"), E2, IF(I2=FALSE, G2, E2))</f>
        <v>NO</v>
      </c>
      <c r="L2" s="2">
        <f>IF(OR(E2="NO", E2="YES"), F2, IF(I2=FALSE, SUM(F2, J2, H2), SUM(F2, J2)))</f>
        <v>2458</v>
      </c>
      <c r="M2" s="70" t="str">
        <f>IF(OR(C2="NO", C2="YES"), C2, IF(OR(K2="NO", K2="YES"), K2, C2))</f>
        <v>NO</v>
      </c>
      <c r="N2" s="2">
        <f>IF(OR(C2="NO", C2="YES"), D2, IF(OR(K2="NO", K2="YES"), SUM(D2, L2), SUM(D2, L2)))</f>
        <v>735</v>
      </c>
      <c r="O2" s="4" t="b">
        <v>0</v>
      </c>
      <c r="P2" s="2">
        <v>3138</v>
      </c>
      <c r="Q2" s="79" t="s">
        <v>820</v>
      </c>
      <c r="R2" s="2">
        <v>6515</v>
      </c>
      <c r="S2" s="4" t="b">
        <v>0</v>
      </c>
      <c r="T2" s="2">
        <v>3936</v>
      </c>
      <c r="U2" s="4" t="s">
        <v>833</v>
      </c>
      <c r="V2" s="2">
        <v>1201407</v>
      </c>
      <c r="W2" s="4" t="s">
        <v>823</v>
      </c>
      <c r="X2" s="2">
        <v>546</v>
      </c>
      <c r="Y2" s="4" t="s">
        <v>820</v>
      </c>
      <c r="Z2" s="2">
        <v>567</v>
      </c>
      <c r="AB2" s="1"/>
    </row>
    <row r="3" spans="1:28" x14ac:dyDescent="0.2">
      <c r="A3" s="103"/>
      <c r="B3" s="27" t="s">
        <v>1</v>
      </c>
      <c r="C3" s="70" t="s">
        <v>818</v>
      </c>
      <c r="D3" s="2">
        <v>557</v>
      </c>
      <c r="E3" s="4" t="s">
        <v>818</v>
      </c>
      <c r="F3" s="2">
        <v>2558</v>
      </c>
      <c r="G3" s="4" t="s">
        <v>818</v>
      </c>
      <c r="H3" s="2">
        <v>394</v>
      </c>
      <c r="I3" s="4" t="b">
        <v>1</v>
      </c>
      <c r="J3" s="2">
        <v>4507</v>
      </c>
      <c r="K3" s="4" t="str">
        <f>IF(OR(E3="NO", E3="YES"), E3, IF(I3=FALSE, G3, E3))</f>
        <v>YES</v>
      </c>
      <c r="L3" s="2">
        <f>IF(OR(E3="NO", E3="YES"), F3, IF(I3=FALSE, SUM(F3, J3, H3), SUM(F3, J3)))</f>
        <v>2558</v>
      </c>
      <c r="M3" s="70" t="str">
        <f t="shared" ref="M3:M66" si="0">IF(OR(C3="NO", C3="YES"), C3, IF(OR(K3="NO", K3="YES"), K3, C3))</f>
        <v>YES</v>
      </c>
      <c r="N3" s="2">
        <f t="shared" ref="N3:N66" si="1">IF(OR(C3="NO", C3="YES"), D3, IF(OR(K3="NO", K3="YES"), SUM(D3, L3), SUM(D3, L3)))</f>
        <v>557</v>
      </c>
      <c r="O3" s="4" t="b">
        <v>1</v>
      </c>
      <c r="P3" s="2">
        <v>182292</v>
      </c>
      <c r="Q3" s="4" t="s">
        <v>818</v>
      </c>
      <c r="R3" s="2">
        <v>5683</v>
      </c>
      <c r="S3" s="4" t="b">
        <v>1</v>
      </c>
      <c r="T3" s="2">
        <v>3679</v>
      </c>
      <c r="U3" s="4" t="s">
        <v>833</v>
      </c>
      <c r="V3" s="2">
        <v>5875</v>
      </c>
      <c r="W3" s="4" t="s">
        <v>876</v>
      </c>
      <c r="X3" s="2">
        <v>316</v>
      </c>
      <c r="Y3" s="4" t="s">
        <v>818</v>
      </c>
      <c r="Z3" s="2">
        <v>380</v>
      </c>
      <c r="AB3" s="1"/>
    </row>
    <row r="4" spans="1:28" x14ac:dyDescent="0.2">
      <c r="A4" s="103"/>
      <c r="B4" s="27" t="s">
        <v>2</v>
      </c>
      <c r="C4" s="70" t="s">
        <v>820</v>
      </c>
      <c r="D4" s="2">
        <v>93989</v>
      </c>
      <c r="E4" s="4" t="s">
        <v>820</v>
      </c>
      <c r="F4" s="2">
        <v>14124</v>
      </c>
      <c r="G4" s="4" t="s">
        <v>820</v>
      </c>
      <c r="H4" s="2">
        <v>492</v>
      </c>
      <c r="I4" s="4" t="b">
        <v>0</v>
      </c>
      <c r="J4" s="2">
        <v>5131</v>
      </c>
      <c r="K4" s="4" t="str">
        <f t="shared" ref="K4:K66" si="2">IF(OR(E4="NO", E4="YES"), E4, IF(I4=FALSE, G4, E4))</f>
        <v>NO</v>
      </c>
      <c r="L4" s="2">
        <f t="shared" ref="L4:L66" si="3">IF(OR(E4="NO", E4="YES"), F4, IF(I4=FALSE, SUM(F4, J4, H4), SUM(F4, J4)))</f>
        <v>14124</v>
      </c>
      <c r="M4" s="70" t="str">
        <f t="shared" si="0"/>
        <v>NO</v>
      </c>
      <c r="N4" s="2">
        <f t="shared" si="1"/>
        <v>93989</v>
      </c>
      <c r="O4" s="4" t="b">
        <v>0</v>
      </c>
      <c r="P4" s="2">
        <v>2072</v>
      </c>
      <c r="Q4" s="4" t="s">
        <v>819</v>
      </c>
      <c r="R4" s="2">
        <v>15825</v>
      </c>
      <c r="S4" s="4" t="s">
        <v>837</v>
      </c>
      <c r="T4" s="2">
        <v>1200346</v>
      </c>
      <c r="U4" s="4" t="s">
        <v>833</v>
      </c>
      <c r="V4" s="2">
        <v>7158</v>
      </c>
      <c r="W4" s="4" t="s">
        <v>823</v>
      </c>
      <c r="X4" s="2">
        <v>513</v>
      </c>
      <c r="Y4" s="4" t="s">
        <v>820</v>
      </c>
      <c r="Z4" s="2">
        <v>358</v>
      </c>
      <c r="AB4" s="1"/>
    </row>
    <row r="5" spans="1:28" x14ac:dyDescent="0.2">
      <c r="A5" s="103"/>
      <c r="B5" s="27" t="s">
        <v>3</v>
      </c>
      <c r="C5" s="4" t="s">
        <v>837</v>
      </c>
      <c r="D5" s="2">
        <v>600412</v>
      </c>
      <c r="E5" s="4" t="s">
        <v>837</v>
      </c>
      <c r="F5" s="2">
        <v>300389</v>
      </c>
      <c r="G5" s="70" t="s">
        <v>818</v>
      </c>
      <c r="H5" s="2">
        <v>586</v>
      </c>
      <c r="I5" s="4" t="b">
        <v>0</v>
      </c>
      <c r="J5" s="2">
        <v>5156</v>
      </c>
      <c r="K5" s="70" t="str">
        <f t="shared" si="2"/>
        <v>YES</v>
      </c>
      <c r="L5" s="2">
        <f t="shared" si="3"/>
        <v>306131</v>
      </c>
      <c r="M5" s="70" t="str">
        <f t="shared" si="0"/>
        <v>YES</v>
      </c>
      <c r="N5" s="2">
        <f t="shared" si="1"/>
        <v>906543</v>
      </c>
      <c r="O5" s="4" t="b">
        <v>1</v>
      </c>
      <c r="P5" s="2">
        <v>182519</v>
      </c>
      <c r="Q5" s="4" t="s">
        <v>818</v>
      </c>
      <c r="R5" s="2">
        <v>25672</v>
      </c>
      <c r="S5" s="4" t="s">
        <v>837</v>
      </c>
      <c r="T5" s="2">
        <v>1200404</v>
      </c>
      <c r="U5" s="4" t="s">
        <v>833</v>
      </c>
      <c r="V5" s="2">
        <v>7079</v>
      </c>
      <c r="W5" s="4" t="s">
        <v>823</v>
      </c>
      <c r="X5" s="2">
        <v>503</v>
      </c>
      <c r="Y5" s="4" t="s">
        <v>818</v>
      </c>
      <c r="Z5" s="2">
        <v>1391</v>
      </c>
      <c r="AB5" s="1"/>
    </row>
    <row r="6" spans="1:28" x14ac:dyDescent="0.2">
      <c r="A6" s="103"/>
      <c r="B6" s="27" t="s">
        <v>4</v>
      </c>
      <c r="C6" s="4" t="s">
        <v>837</v>
      </c>
      <c r="D6" s="2">
        <v>600535</v>
      </c>
      <c r="E6" s="4" t="s">
        <v>837</v>
      </c>
      <c r="F6" s="2">
        <v>300793</v>
      </c>
      <c r="G6" s="70" t="s">
        <v>820</v>
      </c>
      <c r="H6" s="2">
        <v>106195</v>
      </c>
      <c r="I6" s="4" t="b">
        <v>0</v>
      </c>
      <c r="J6" s="2">
        <v>4894</v>
      </c>
      <c r="K6" s="70" t="str">
        <f t="shared" si="2"/>
        <v>NO</v>
      </c>
      <c r="L6" s="2">
        <f t="shared" si="3"/>
        <v>411882</v>
      </c>
      <c r="M6" s="70" t="str">
        <f t="shared" si="0"/>
        <v>NO</v>
      </c>
      <c r="N6" s="2">
        <f t="shared" si="1"/>
        <v>1012417</v>
      </c>
      <c r="O6" s="4" t="b">
        <v>0</v>
      </c>
      <c r="P6" s="2">
        <v>3016</v>
      </c>
      <c r="Q6" s="4" t="s">
        <v>838</v>
      </c>
      <c r="R6" s="2">
        <v>897970</v>
      </c>
      <c r="S6" s="4" t="s">
        <v>838</v>
      </c>
      <c r="T6" s="2">
        <v>19464</v>
      </c>
      <c r="U6" s="4" t="s">
        <v>837</v>
      </c>
      <c r="V6" s="2">
        <v>1211741</v>
      </c>
      <c r="W6" s="4" t="s">
        <v>823</v>
      </c>
      <c r="X6" s="2">
        <v>451</v>
      </c>
      <c r="Y6" s="4" t="s">
        <v>837</v>
      </c>
      <c r="Z6" s="2">
        <v>1210035</v>
      </c>
      <c r="AB6" s="1"/>
    </row>
    <row r="7" spans="1:28" x14ac:dyDescent="0.2">
      <c r="A7" s="103"/>
      <c r="B7" s="27" t="s">
        <v>5</v>
      </c>
      <c r="C7" s="4" t="s">
        <v>837</v>
      </c>
      <c r="D7" s="2">
        <v>600536</v>
      </c>
      <c r="E7" s="4" t="s">
        <v>837</v>
      </c>
      <c r="F7" s="2">
        <v>301856</v>
      </c>
      <c r="G7" s="4" t="s">
        <v>837</v>
      </c>
      <c r="H7" s="2">
        <v>270311</v>
      </c>
      <c r="I7" s="4" t="b">
        <v>0</v>
      </c>
      <c r="J7" s="2">
        <v>4866</v>
      </c>
      <c r="K7" s="4" t="str">
        <f t="shared" si="2"/>
        <v>TIMEOUT</v>
      </c>
      <c r="L7" s="2">
        <f t="shared" si="3"/>
        <v>577033</v>
      </c>
      <c r="M7" s="4" t="str">
        <f t="shared" si="0"/>
        <v>TIMEOUT</v>
      </c>
      <c r="N7" s="2">
        <f t="shared" si="1"/>
        <v>1177569</v>
      </c>
      <c r="O7" s="4" t="b">
        <v>1</v>
      </c>
      <c r="P7" s="2">
        <v>185536</v>
      </c>
      <c r="Q7" s="4" t="s">
        <v>837</v>
      </c>
      <c r="R7" s="2">
        <v>1210066</v>
      </c>
      <c r="S7" s="4" t="b">
        <v>1</v>
      </c>
      <c r="T7" s="2">
        <v>36735</v>
      </c>
      <c r="U7" s="4" t="s">
        <v>833</v>
      </c>
      <c r="V7" s="2">
        <v>1202220</v>
      </c>
      <c r="W7" s="4" t="s">
        <v>823</v>
      </c>
      <c r="X7" s="2">
        <v>573</v>
      </c>
      <c r="Y7" s="4" t="s">
        <v>837</v>
      </c>
      <c r="Z7" s="2">
        <v>1210039</v>
      </c>
      <c r="AB7" s="1"/>
    </row>
    <row r="8" spans="1:28" x14ac:dyDescent="0.2">
      <c r="A8" s="103"/>
      <c r="B8" s="27" t="s">
        <v>6</v>
      </c>
      <c r="C8" s="70" t="s">
        <v>820</v>
      </c>
      <c r="D8" s="2">
        <v>38140</v>
      </c>
      <c r="E8" s="4" t="s">
        <v>837</v>
      </c>
      <c r="F8" s="2">
        <v>301253</v>
      </c>
      <c r="G8" s="4" t="s">
        <v>820</v>
      </c>
      <c r="H8" s="2">
        <v>11137</v>
      </c>
      <c r="I8" s="4" t="b">
        <v>0</v>
      </c>
      <c r="J8" s="2">
        <v>4708</v>
      </c>
      <c r="K8" s="4" t="str">
        <f t="shared" si="2"/>
        <v>NO</v>
      </c>
      <c r="L8" s="2">
        <f t="shared" si="3"/>
        <v>317098</v>
      </c>
      <c r="M8" s="70" t="str">
        <f t="shared" si="0"/>
        <v>NO</v>
      </c>
      <c r="N8" s="2">
        <f t="shared" si="1"/>
        <v>38140</v>
      </c>
      <c r="O8" s="4" t="b">
        <v>0</v>
      </c>
      <c r="P8" s="2">
        <v>3993</v>
      </c>
      <c r="Q8" s="4" t="s">
        <v>837</v>
      </c>
      <c r="R8" s="2">
        <v>1210042</v>
      </c>
      <c r="S8" s="4" t="s">
        <v>838</v>
      </c>
      <c r="T8" s="2">
        <v>11394</v>
      </c>
      <c r="U8" s="4" t="s">
        <v>838</v>
      </c>
      <c r="V8" s="2">
        <v>16279</v>
      </c>
      <c r="W8" s="4" t="s">
        <v>823</v>
      </c>
      <c r="X8" s="2">
        <v>508</v>
      </c>
      <c r="Y8" s="4" t="s">
        <v>820</v>
      </c>
      <c r="Z8" s="2">
        <v>1329</v>
      </c>
      <c r="AB8" s="1"/>
    </row>
    <row r="9" spans="1:28" x14ac:dyDescent="0.2">
      <c r="A9" s="103"/>
      <c r="B9" s="27" t="s">
        <v>7</v>
      </c>
      <c r="C9" s="4" t="s">
        <v>837</v>
      </c>
      <c r="D9" s="2">
        <v>600599</v>
      </c>
      <c r="E9" s="4" t="s">
        <v>837</v>
      </c>
      <c r="F9" s="2">
        <v>301052</v>
      </c>
      <c r="G9" s="4" t="s">
        <v>837</v>
      </c>
      <c r="H9" s="2">
        <v>270250</v>
      </c>
      <c r="I9" s="4" t="b">
        <v>0</v>
      </c>
      <c r="J9" s="2">
        <v>4723</v>
      </c>
      <c r="K9" s="4" t="str">
        <f t="shared" si="2"/>
        <v>TIMEOUT</v>
      </c>
      <c r="L9" s="2">
        <f t="shared" si="3"/>
        <v>576025</v>
      </c>
      <c r="M9" s="4" t="str">
        <f t="shared" si="0"/>
        <v>TIMEOUT</v>
      </c>
      <c r="N9" s="2">
        <f t="shared" si="1"/>
        <v>1176624</v>
      </c>
      <c r="O9" s="4" t="b">
        <v>1</v>
      </c>
      <c r="P9" s="2">
        <v>185246</v>
      </c>
      <c r="Q9" s="4" t="s">
        <v>818</v>
      </c>
      <c r="R9" s="2">
        <v>39874</v>
      </c>
      <c r="S9" s="4" t="b">
        <v>1</v>
      </c>
      <c r="T9" s="2">
        <v>5341</v>
      </c>
      <c r="U9" s="4" t="s">
        <v>838</v>
      </c>
      <c r="V9" s="2">
        <v>15943</v>
      </c>
      <c r="W9" s="4" t="s">
        <v>876</v>
      </c>
      <c r="X9" s="2">
        <v>618</v>
      </c>
      <c r="Y9" s="4" t="s">
        <v>837</v>
      </c>
      <c r="Z9" s="2">
        <v>1210028</v>
      </c>
    </row>
    <row r="10" spans="1:28" x14ac:dyDescent="0.2">
      <c r="A10" s="103"/>
      <c r="B10" s="27" t="s">
        <v>8</v>
      </c>
      <c r="C10" s="70" t="s">
        <v>820</v>
      </c>
      <c r="D10" s="2">
        <v>818</v>
      </c>
      <c r="E10" s="4" t="s">
        <v>820</v>
      </c>
      <c r="F10" s="2">
        <v>10815</v>
      </c>
      <c r="G10" s="4" t="s">
        <v>820</v>
      </c>
      <c r="H10" s="2">
        <v>487</v>
      </c>
      <c r="I10" s="4" t="s">
        <v>837</v>
      </c>
      <c r="J10" s="2">
        <v>3773</v>
      </c>
      <c r="K10" s="4" t="str">
        <f t="shared" si="2"/>
        <v>NO</v>
      </c>
      <c r="L10" s="2">
        <f t="shared" si="3"/>
        <v>10815</v>
      </c>
      <c r="M10" s="70" t="str">
        <f t="shared" si="0"/>
        <v>NO</v>
      </c>
      <c r="N10" s="2">
        <f t="shared" si="1"/>
        <v>818</v>
      </c>
      <c r="O10" s="4" t="b">
        <v>0</v>
      </c>
      <c r="P10" s="2">
        <v>2327</v>
      </c>
      <c r="Q10" s="4" t="s">
        <v>819</v>
      </c>
      <c r="R10" s="2">
        <v>7389</v>
      </c>
      <c r="S10" s="4" t="b">
        <v>0</v>
      </c>
      <c r="T10" s="2">
        <v>3802</v>
      </c>
      <c r="U10" s="4" t="s">
        <v>838</v>
      </c>
      <c r="V10" s="2">
        <v>3827</v>
      </c>
      <c r="W10" s="4" t="s">
        <v>823</v>
      </c>
      <c r="X10" s="2">
        <v>501</v>
      </c>
      <c r="Y10" s="4" t="s">
        <v>838</v>
      </c>
      <c r="Z10" s="2">
        <v>355</v>
      </c>
      <c r="AA10" s="4" t="s">
        <v>103</v>
      </c>
      <c r="AB10" s="67"/>
    </row>
    <row r="11" spans="1:28" x14ac:dyDescent="0.2">
      <c r="A11" s="103"/>
      <c r="B11" s="27" t="s">
        <v>9</v>
      </c>
      <c r="C11" s="4" t="s">
        <v>837</v>
      </c>
      <c r="D11" s="2">
        <v>600456</v>
      </c>
      <c r="E11" s="4" t="s">
        <v>837</v>
      </c>
      <c r="F11" s="2">
        <v>300540</v>
      </c>
      <c r="G11" s="4" t="s">
        <v>837</v>
      </c>
      <c r="H11" s="2">
        <v>270249</v>
      </c>
      <c r="I11" s="4" t="s">
        <v>837</v>
      </c>
      <c r="J11" s="2">
        <v>3736</v>
      </c>
      <c r="K11" s="4" t="str">
        <f t="shared" si="2"/>
        <v>TIMEOUT</v>
      </c>
      <c r="L11" s="2">
        <f t="shared" si="3"/>
        <v>304276</v>
      </c>
      <c r="M11" s="4" t="str">
        <f t="shared" si="0"/>
        <v>TIMEOUT</v>
      </c>
      <c r="N11" s="2">
        <f t="shared" si="1"/>
        <v>904732</v>
      </c>
      <c r="O11" s="4" t="b">
        <v>0</v>
      </c>
      <c r="P11" s="2">
        <v>2206</v>
      </c>
      <c r="Q11" s="4" t="s">
        <v>819</v>
      </c>
      <c r="R11" s="2">
        <v>7223</v>
      </c>
      <c r="S11" s="4" t="s">
        <v>837</v>
      </c>
      <c r="T11" s="2">
        <v>1200323</v>
      </c>
      <c r="U11" s="4" t="s">
        <v>838</v>
      </c>
      <c r="V11" s="2">
        <v>3858</v>
      </c>
      <c r="W11" s="4" t="s">
        <v>823</v>
      </c>
      <c r="X11" s="2">
        <v>528</v>
      </c>
      <c r="Y11" s="4" t="s">
        <v>838</v>
      </c>
      <c r="Z11" s="2">
        <v>347</v>
      </c>
      <c r="AA11" s="4" t="s">
        <v>103</v>
      </c>
      <c r="AB11" s="67"/>
    </row>
    <row r="12" spans="1:28" x14ac:dyDescent="0.2">
      <c r="A12" s="103"/>
      <c r="B12" s="27" t="s">
        <v>12</v>
      </c>
      <c r="C12" s="70" t="s">
        <v>820</v>
      </c>
      <c r="D12" s="2">
        <v>468</v>
      </c>
      <c r="E12" s="4" t="s">
        <v>838</v>
      </c>
      <c r="F12" s="2">
        <v>330</v>
      </c>
      <c r="G12" s="4" t="s">
        <v>838</v>
      </c>
      <c r="H12" s="2">
        <v>263</v>
      </c>
      <c r="I12" s="4" t="b">
        <v>1</v>
      </c>
      <c r="J12" s="2">
        <v>4191</v>
      </c>
      <c r="K12" s="4" t="str">
        <f t="shared" si="2"/>
        <v>ERROR</v>
      </c>
      <c r="L12" s="2">
        <f t="shared" si="3"/>
        <v>4521</v>
      </c>
      <c r="M12" s="70" t="str">
        <f t="shared" si="0"/>
        <v>NO</v>
      </c>
      <c r="N12" s="2">
        <f t="shared" si="1"/>
        <v>468</v>
      </c>
      <c r="O12" s="4" t="b">
        <v>0</v>
      </c>
      <c r="P12" s="2">
        <v>2017</v>
      </c>
      <c r="Q12" s="4" t="s">
        <v>819</v>
      </c>
      <c r="R12" s="2">
        <v>2557</v>
      </c>
      <c r="S12" s="4" t="s">
        <v>833</v>
      </c>
      <c r="T12" s="2">
        <v>4945</v>
      </c>
      <c r="U12" s="4" t="s">
        <v>833</v>
      </c>
      <c r="V12" s="2">
        <v>1201201</v>
      </c>
      <c r="W12" s="4" t="s">
        <v>823</v>
      </c>
      <c r="X12" s="2">
        <v>266</v>
      </c>
      <c r="Y12" s="4" t="s">
        <v>820</v>
      </c>
      <c r="Z12" s="2">
        <v>432</v>
      </c>
      <c r="AA12" s="4" t="s">
        <v>102</v>
      </c>
      <c r="AB12" s="67"/>
    </row>
    <row r="13" spans="1:28" x14ac:dyDescent="0.2">
      <c r="A13" s="103"/>
      <c r="B13" s="27" t="s">
        <v>13</v>
      </c>
      <c r="C13" s="70" t="s">
        <v>818</v>
      </c>
      <c r="D13" s="2">
        <v>453</v>
      </c>
      <c r="E13" s="4" t="s">
        <v>838</v>
      </c>
      <c r="F13" s="2">
        <v>284</v>
      </c>
      <c r="G13" s="4" t="s">
        <v>838</v>
      </c>
      <c r="H13" s="2">
        <v>245</v>
      </c>
      <c r="I13" s="4" t="b">
        <v>1</v>
      </c>
      <c r="J13" s="2">
        <v>4176</v>
      </c>
      <c r="K13" s="4" t="str">
        <f t="shared" si="2"/>
        <v>ERROR</v>
      </c>
      <c r="L13" s="2">
        <f t="shared" si="3"/>
        <v>4460</v>
      </c>
      <c r="M13" s="70" t="str">
        <f t="shared" si="0"/>
        <v>YES</v>
      </c>
      <c r="N13" s="2">
        <f t="shared" si="1"/>
        <v>453</v>
      </c>
      <c r="O13" s="4" t="b">
        <v>1</v>
      </c>
      <c r="P13" s="2">
        <v>42258</v>
      </c>
      <c r="Q13" s="4" t="s">
        <v>819</v>
      </c>
      <c r="R13" s="2">
        <v>2526</v>
      </c>
      <c r="S13" s="4" t="b">
        <v>1</v>
      </c>
      <c r="T13" s="2">
        <v>2739</v>
      </c>
      <c r="U13" s="4" t="s">
        <v>833</v>
      </c>
      <c r="V13" s="2">
        <v>1201077</v>
      </c>
      <c r="W13" s="4" t="s">
        <v>876</v>
      </c>
      <c r="X13" s="2">
        <v>289</v>
      </c>
      <c r="Y13" s="4" t="s">
        <v>820</v>
      </c>
      <c r="Z13" s="2">
        <v>413</v>
      </c>
      <c r="AA13" s="4" t="s">
        <v>102</v>
      </c>
      <c r="AB13" s="67"/>
    </row>
    <row r="14" spans="1:28" x14ac:dyDescent="0.2">
      <c r="A14" s="103"/>
      <c r="B14" s="27" t="s">
        <v>14</v>
      </c>
      <c r="C14" s="70" t="s">
        <v>820</v>
      </c>
      <c r="D14" s="2">
        <v>425</v>
      </c>
      <c r="E14" s="4" t="s">
        <v>838</v>
      </c>
      <c r="F14" s="2">
        <v>297</v>
      </c>
      <c r="G14" s="4" t="s">
        <v>838</v>
      </c>
      <c r="H14" s="2">
        <v>252</v>
      </c>
      <c r="I14" s="4" t="b">
        <v>0</v>
      </c>
      <c r="J14" s="2">
        <v>4479</v>
      </c>
      <c r="K14" s="4" t="str">
        <f t="shared" si="2"/>
        <v>ERROR</v>
      </c>
      <c r="L14" s="2">
        <f t="shared" si="3"/>
        <v>5028</v>
      </c>
      <c r="M14" s="70" t="str">
        <f t="shared" si="0"/>
        <v>NO</v>
      </c>
      <c r="N14" s="2">
        <f t="shared" si="1"/>
        <v>425</v>
      </c>
      <c r="O14" s="4" t="b">
        <v>0</v>
      </c>
      <c r="P14" s="2">
        <v>2022</v>
      </c>
      <c r="Q14" s="4" t="s">
        <v>819</v>
      </c>
      <c r="R14" s="2">
        <v>2635</v>
      </c>
      <c r="S14" s="4" t="s">
        <v>833</v>
      </c>
      <c r="T14" s="2">
        <v>3879</v>
      </c>
      <c r="U14" s="4" t="s">
        <v>833</v>
      </c>
      <c r="V14" s="2">
        <v>1201048</v>
      </c>
      <c r="W14" s="4" t="s">
        <v>823</v>
      </c>
      <c r="X14" s="2">
        <v>489</v>
      </c>
      <c r="Y14" s="4" t="s">
        <v>820</v>
      </c>
      <c r="Z14" s="2">
        <v>442</v>
      </c>
      <c r="AA14" s="4" t="s">
        <v>102</v>
      </c>
      <c r="AB14" s="89"/>
    </row>
    <row r="15" spans="1:28" x14ac:dyDescent="0.2">
      <c r="A15" s="103"/>
      <c r="B15" s="27" t="s">
        <v>15</v>
      </c>
      <c r="C15" s="70" t="s">
        <v>818</v>
      </c>
      <c r="D15" s="2">
        <v>12338</v>
      </c>
      <c r="E15" s="4" t="s">
        <v>838</v>
      </c>
      <c r="F15" s="2">
        <v>321</v>
      </c>
      <c r="G15" s="4" t="s">
        <v>838</v>
      </c>
      <c r="H15" s="2">
        <v>247</v>
      </c>
      <c r="I15" s="4" t="b">
        <v>0</v>
      </c>
      <c r="J15" s="2">
        <v>4497</v>
      </c>
      <c r="K15" s="4" t="str">
        <f t="shared" si="2"/>
        <v>ERROR</v>
      </c>
      <c r="L15" s="2">
        <f t="shared" si="3"/>
        <v>5065</v>
      </c>
      <c r="M15" s="70" t="str">
        <f t="shared" si="0"/>
        <v>YES</v>
      </c>
      <c r="N15" s="2">
        <f t="shared" si="1"/>
        <v>12338</v>
      </c>
      <c r="O15" s="4" t="b">
        <v>1</v>
      </c>
      <c r="P15" s="2">
        <v>49955</v>
      </c>
      <c r="Q15" s="4" t="s">
        <v>819</v>
      </c>
      <c r="R15" s="2">
        <v>2731</v>
      </c>
      <c r="S15" s="4" t="s">
        <v>833</v>
      </c>
      <c r="T15" s="2">
        <v>3898</v>
      </c>
      <c r="U15" s="4" t="s">
        <v>833</v>
      </c>
      <c r="V15" s="2">
        <v>1201162</v>
      </c>
      <c r="W15" s="4" t="s">
        <v>823</v>
      </c>
      <c r="X15" s="2">
        <v>438</v>
      </c>
      <c r="Y15" s="4" t="s">
        <v>820</v>
      </c>
      <c r="Z15" s="2">
        <v>414</v>
      </c>
      <c r="AA15" s="4" t="s">
        <v>102</v>
      </c>
      <c r="AB15" s="89"/>
    </row>
    <row r="16" spans="1:28" x14ac:dyDescent="0.2">
      <c r="A16" s="103"/>
      <c r="B16" s="27" t="s">
        <v>16</v>
      </c>
      <c r="C16" s="70" t="s">
        <v>820</v>
      </c>
      <c r="D16" s="2">
        <v>452</v>
      </c>
      <c r="E16" s="4" t="s">
        <v>838</v>
      </c>
      <c r="F16" s="2">
        <v>341</v>
      </c>
      <c r="G16" s="4" t="s">
        <v>838</v>
      </c>
      <c r="H16" s="2">
        <v>259</v>
      </c>
      <c r="I16" s="4" t="b">
        <v>1</v>
      </c>
      <c r="J16" s="2">
        <v>4239</v>
      </c>
      <c r="K16" s="4" t="str">
        <f t="shared" si="2"/>
        <v>ERROR</v>
      </c>
      <c r="L16" s="2">
        <f t="shared" si="3"/>
        <v>4580</v>
      </c>
      <c r="M16" s="70" t="str">
        <f t="shared" si="0"/>
        <v>NO</v>
      </c>
      <c r="N16" s="2">
        <f t="shared" si="1"/>
        <v>452</v>
      </c>
      <c r="O16" s="4" t="b">
        <v>0</v>
      </c>
      <c r="P16" s="2">
        <v>2034</v>
      </c>
      <c r="Q16" s="4" t="s">
        <v>819</v>
      </c>
      <c r="R16" s="2">
        <v>2474</v>
      </c>
      <c r="S16" s="4" t="b">
        <v>0</v>
      </c>
      <c r="T16" s="2">
        <v>2179</v>
      </c>
      <c r="U16" s="4" t="s">
        <v>833</v>
      </c>
      <c r="V16" s="2">
        <v>5102</v>
      </c>
      <c r="W16" s="4" t="s">
        <v>823</v>
      </c>
      <c r="X16" s="2">
        <v>322</v>
      </c>
      <c r="Y16" s="4" t="s">
        <v>820</v>
      </c>
      <c r="Z16" s="2">
        <v>408</v>
      </c>
      <c r="AA16" s="4" t="s">
        <v>102</v>
      </c>
      <c r="AB16" s="67"/>
    </row>
    <row r="17" spans="1:28" x14ac:dyDescent="0.2">
      <c r="A17" s="103"/>
      <c r="B17" s="27" t="s">
        <v>17</v>
      </c>
      <c r="C17" s="70" t="s">
        <v>818</v>
      </c>
      <c r="D17" s="2">
        <v>418</v>
      </c>
      <c r="E17" s="4" t="s">
        <v>838</v>
      </c>
      <c r="F17" s="2">
        <v>326</v>
      </c>
      <c r="G17" s="4" t="s">
        <v>838</v>
      </c>
      <c r="H17" s="2">
        <v>262</v>
      </c>
      <c r="I17" s="4" t="b">
        <v>1</v>
      </c>
      <c r="J17" s="2">
        <v>4244</v>
      </c>
      <c r="K17" s="4" t="str">
        <f t="shared" si="2"/>
        <v>ERROR</v>
      </c>
      <c r="L17" s="2">
        <f t="shared" si="3"/>
        <v>4570</v>
      </c>
      <c r="M17" s="70" t="str">
        <f t="shared" si="0"/>
        <v>YES</v>
      </c>
      <c r="N17" s="2">
        <f t="shared" si="1"/>
        <v>418</v>
      </c>
      <c r="O17" s="4" t="b">
        <v>1</v>
      </c>
      <c r="P17" s="2">
        <v>59675</v>
      </c>
      <c r="Q17" s="4" t="s">
        <v>819</v>
      </c>
      <c r="R17" s="2">
        <v>2552</v>
      </c>
      <c r="S17" s="4" t="s">
        <v>833</v>
      </c>
      <c r="T17" s="2">
        <v>3839</v>
      </c>
      <c r="U17" s="4" t="s">
        <v>833</v>
      </c>
      <c r="V17" s="2">
        <v>5235</v>
      </c>
      <c r="W17" s="4" t="s">
        <v>823</v>
      </c>
      <c r="X17" s="2">
        <v>367</v>
      </c>
      <c r="Y17" s="4" t="s">
        <v>820</v>
      </c>
      <c r="Z17" s="2">
        <v>397</v>
      </c>
      <c r="AA17" s="4" t="s">
        <v>102</v>
      </c>
      <c r="AB17" s="67"/>
    </row>
    <row r="18" spans="1:28" x14ac:dyDescent="0.2">
      <c r="A18" s="103"/>
      <c r="B18" s="27" t="s">
        <v>18</v>
      </c>
      <c r="C18" s="4" t="s">
        <v>837</v>
      </c>
      <c r="D18" s="2">
        <v>600339</v>
      </c>
      <c r="E18" s="4" t="s">
        <v>837</v>
      </c>
      <c r="F18" s="2">
        <v>300413</v>
      </c>
      <c r="G18" s="4" t="s">
        <v>837</v>
      </c>
      <c r="H18" s="2">
        <v>270253</v>
      </c>
      <c r="I18" s="4" t="b">
        <v>1</v>
      </c>
      <c r="J18" s="2">
        <v>4712</v>
      </c>
      <c r="K18" s="4" t="str">
        <f t="shared" si="2"/>
        <v>TIMEOUT</v>
      </c>
      <c r="L18" s="2">
        <f t="shared" si="3"/>
        <v>305125</v>
      </c>
      <c r="M18" s="4" t="str">
        <f t="shared" si="0"/>
        <v>TIMEOUT</v>
      </c>
      <c r="N18" s="2">
        <f t="shared" si="1"/>
        <v>905464</v>
      </c>
      <c r="O18" s="4" t="s">
        <v>883</v>
      </c>
      <c r="P18" s="2">
        <v>302173</v>
      </c>
      <c r="Q18" s="4" t="s">
        <v>819</v>
      </c>
      <c r="R18" s="2">
        <v>13693</v>
      </c>
      <c r="S18" s="4" t="s">
        <v>837</v>
      </c>
      <c r="T18" s="2">
        <v>1200323</v>
      </c>
      <c r="U18" s="4" t="s">
        <v>833</v>
      </c>
      <c r="V18" s="2">
        <v>413225</v>
      </c>
      <c r="W18" s="4" t="s">
        <v>823</v>
      </c>
      <c r="X18" s="2">
        <v>369</v>
      </c>
      <c r="Y18" s="4" t="s">
        <v>820</v>
      </c>
      <c r="Z18" s="2">
        <v>3037</v>
      </c>
      <c r="AA18" s="4" t="s">
        <v>104</v>
      </c>
    </row>
    <row r="19" spans="1:28" x14ac:dyDescent="0.2">
      <c r="A19" s="103"/>
      <c r="B19" s="27" t="s">
        <v>19</v>
      </c>
      <c r="C19" s="4" t="s">
        <v>837</v>
      </c>
      <c r="D19" s="2">
        <v>600426</v>
      </c>
      <c r="E19" s="4" t="s">
        <v>837</v>
      </c>
      <c r="F19" s="2">
        <v>300477</v>
      </c>
      <c r="G19" s="4" t="s">
        <v>837</v>
      </c>
      <c r="H19" s="2">
        <v>270312</v>
      </c>
      <c r="I19" s="4" t="b">
        <v>1</v>
      </c>
      <c r="J19" s="2">
        <v>4765</v>
      </c>
      <c r="K19" s="4" t="str">
        <f t="shared" si="2"/>
        <v>TIMEOUT</v>
      </c>
      <c r="L19" s="2">
        <f t="shared" si="3"/>
        <v>305242</v>
      </c>
      <c r="M19" s="4" t="str">
        <f t="shared" si="0"/>
        <v>TIMEOUT</v>
      </c>
      <c r="N19" s="2">
        <f t="shared" si="1"/>
        <v>905668</v>
      </c>
      <c r="O19" s="4" t="b">
        <v>1</v>
      </c>
      <c r="P19" s="2">
        <v>193913</v>
      </c>
      <c r="Q19" s="4" t="s">
        <v>837</v>
      </c>
      <c r="R19" s="2">
        <v>1200271</v>
      </c>
      <c r="S19" s="4" t="s">
        <v>837</v>
      </c>
      <c r="T19" s="2">
        <v>1200368</v>
      </c>
      <c r="U19" s="4" t="s">
        <v>833</v>
      </c>
      <c r="V19" s="2">
        <v>420230</v>
      </c>
      <c r="W19" s="4" t="s">
        <v>823</v>
      </c>
      <c r="X19" s="2">
        <v>371</v>
      </c>
      <c r="Y19" s="4" t="s">
        <v>820</v>
      </c>
      <c r="Z19" s="2">
        <v>276850</v>
      </c>
      <c r="AA19" s="4" t="s">
        <v>104</v>
      </c>
    </row>
    <row r="20" spans="1:28" x14ac:dyDescent="0.2">
      <c r="A20" s="103"/>
      <c r="B20" s="27" t="s">
        <v>20</v>
      </c>
      <c r="C20" s="4" t="s">
        <v>837</v>
      </c>
      <c r="D20" s="2">
        <v>600394</v>
      </c>
      <c r="E20" s="4" t="s">
        <v>837</v>
      </c>
      <c r="F20" s="2">
        <v>300462</v>
      </c>
      <c r="G20" s="4" t="s">
        <v>837</v>
      </c>
      <c r="H20" s="2">
        <v>270303</v>
      </c>
      <c r="I20" s="4" t="b">
        <v>1</v>
      </c>
      <c r="J20" s="2">
        <v>4562</v>
      </c>
      <c r="K20" s="4" t="str">
        <f t="shared" si="2"/>
        <v>TIMEOUT</v>
      </c>
      <c r="L20" s="2">
        <f t="shared" si="3"/>
        <v>305024</v>
      </c>
      <c r="M20" s="4" t="str">
        <f t="shared" si="0"/>
        <v>TIMEOUT</v>
      </c>
      <c r="N20" s="2">
        <f t="shared" si="1"/>
        <v>905418</v>
      </c>
      <c r="O20" s="4" t="b">
        <v>0</v>
      </c>
      <c r="P20" s="2">
        <v>4367</v>
      </c>
      <c r="Q20" s="4" t="s">
        <v>819</v>
      </c>
      <c r="R20" s="2">
        <v>14825</v>
      </c>
      <c r="S20" s="4" t="b">
        <v>0</v>
      </c>
      <c r="T20" s="2">
        <v>35905</v>
      </c>
      <c r="U20" s="4" t="s">
        <v>833</v>
      </c>
      <c r="V20" s="2">
        <v>10463</v>
      </c>
      <c r="W20" s="4" t="s">
        <v>823</v>
      </c>
      <c r="X20" s="2">
        <v>390</v>
      </c>
      <c r="Y20" s="4" t="s">
        <v>820</v>
      </c>
      <c r="Z20" s="2">
        <v>1848</v>
      </c>
      <c r="AA20" s="4" t="s">
        <v>98</v>
      </c>
    </row>
    <row r="21" spans="1:28" x14ac:dyDescent="0.2">
      <c r="A21" s="103"/>
      <c r="B21" s="27" t="s">
        <v>21</v>
      </c>
      <c r="C21" s="70" t="s">
        <v>818</v>
      </c>
      <c r="D21" s="2">
        <v>772</v>
      </c>
      <c r="E21" s="4" t="s">
        <v>818</v>
      </c>
      <c r="F21" s="2">
        <v>4864</v>
      </c>
      <c r="G21" s="4" t="s">
        <v>818</v>
      </c>
      <c r="H21" s="2">
        <v>511</v>
      </c>
      <c r="I21" s="4" t="b">
        <v>1</v>
      </c>
      <c r="J21" s="2">
        <v>4650</v>
      </c>
      <c r="K21" s="4" t="str">
        <f t="shared" si="2"/>
        <v>YES</v>
      </c>
      <c r="L21" s="2">
        <f t="shared" si="3"/>
        <v>4864</v>
      </c>
      <c r="M21" s="70" t="str">
        <f t="shared" si="0"/>
        <v>YES</v>
      </c>
      <c r="N21" s="2">
        <f t="shared" si="1"/>
        <v>772</v>
      </c>
      <c r="O21" s="4" t="b">
        <v>1</v>
      </c>
      <c r="P21" s="2">
        <v>8537</v>
      </c>
      <c r="Q21" s="4" t="s">
        <v>818</v>
      </c>
      <c r="R21" s="2">
        <v>15710</v>
      </c>
      <c r="S21" s="4" t="b">
        <v>1</v>
      </c>
      <c r="T21" s="2">
        <v>18183</v>
      </c>
      <c r="U21" s="4" t="s">
        <v>833</v>
      </c>
      <c r="V21" s="2">
        <v>10257</v>
      </c>
      <c r="W21" s="4" t="s">
        <v>876</v>
      </c>
      <c r="X21" s="2">
        <v>371</v>
      </c>
      <c r="Y21" s="4" t="s">
        <v>837</v>
      </c>
      <c r="Z21" s="2">
        <v>1210031</v>
      </c>
      <c r="AA21" s="4" t="s">
        <v>98</v>
      </c>
      <c r="AB21" s="85"/>
    </row>
    <row r="22" spans="1:28" x14ac:dyDescent="0.2">
      <c r="A22" s="103"/>
      <c r="B22" s="27" t="s">
        <v>26</v>
      </c>
      <c r="C22" s="70" t="s">
        <v>820</v>
      </c>
      <c r="D22" s="2">
        <v>377608</v>
      </c>
      <c r="E22" s="4" t="s">
        <v>837</v>
      </c>
      <c r="F22" s="2">
        <v>300418</v>
      </c>
      <c r="G22" s="4" t="s">
        <v>837</v>
      </c>
      <c r="H22" s="2">
        <v>270295</v>
      </c>
      <c r="I22" s="4" t="b">
        <v>1</v>
      </c>
      <c r="J22" s="2">
        <v>4854</v>
      </c>
      <c r="K22" s="4" t="str">
        <f t="shared" si="2"/>
        <v>TIMEOUT</v>
      </c>
      <c r="L22" s="2">
        <f t="shared" si="3"/>
        <v>305272</v>
      </c>
      <c r="M22" s="70" t="str">
        <f t="shared" si="0"/>
        <v>NO</v>
      </c>
      <c r="N22" s="2">
        <f t="shared" si="1"/>
        <v>377608</v>
      </c>
      <c r="O22" s="4" t="s">
        <v>883</v>
      </c>
      <c r="P22" s="2">
        <v>301847</v>
      </c>
      <c r="Q22" s="4" t="s">
        <v>819</v>
      </c>
      <c r="R22" s="2">
        <v>6353</v>
      </c>
      <c r="S22" s="4" t="s">
        <v>837</v>
      </c>
      <c r="T22" s="2">
        <v>1200279</v>
      </c>
      <c r="U22" s="4" t="s">
        <v>833</v>
      </c>
      <c r="V22" s="2">
        <v>822503</v>
      </c>
      <c r="W22" s="4" t="s">
        <v>823</v>
      </c>
      <c r="X22" s="2">
        <v>337</v>
      </c>
      <c r="Y22" s="4" t="s">
        <v>838</v>
      </c>
      <c r="Z22" s="2">
        <v>457</v>
      </c>
      <c r="AA22" s="4" t="s">
        <v>104</v>
      </c>
    </row>
    <row r="23" spans="1:28" x14ac:dyDescent="0.2">
      <c r="A23" s="103"/>
      <c r="B23" s="27" t="s">
        <v>27</v>
      </c>
      <c r="C23" s="4" t="s">
        <v>837</v>
      </c>
      <c r="D23" s="2">
        <v>600432</v>
      </c>
      <c r="E23" s="4" t="s">
        <v>837</v>
      </c>
      <c r="F23" s="2">
        <v>300543</v>
      </c>
      <c r="G23" s="4" t="s">
        <v>837</v>
      </c>
      <c r="H23" s="2">
        <v>270310</v>
      </c>
      <c r="I23" s="4" t="b">
        <v>1</v>
      </c>
      <c r="J23" s="2">
        <v>4930</v>
      </c>
      <c r="K23" s="4" t="str">
        <f t="shared" si="2"/>
        <v>TIMEOUT</v>
      </c>
      <c r="L23" s="2">
        <f t="shared" si="3"/>
        <v>305473</v>
      </c>
      <c r="M23" s="4" t="str">
        <f t="shared" si="0"/>
        <v>TIMEOUT</v>
      </c>
      <c r="N23" s="2">
        <f t="shared" si="1"/>
        <v>905905</v>
      </c>
      <c r="O23" s="4" t="s">
        <v>883</v>
      </c>
      <c r="P23" s="2">
        <v>301909</v>
      </c>
      <c r="Q23" s="4" t="s">
        <v>819</v>
      </c>
      <c r="R23" s="2">
        <v>6478</v>
      </c>
      <c r="S23" s="4" t="s">
        <v>837</v>
      </c>
      <c r="T23" s="2">
        <v>1200337</v>
      </c>
      <c r="U23" s="4" t="s">
        <v>833</v>
      </c>
      <c r="V23" s="2">
        <v>658707</v>
      </c>
      <c r="W23" s="4" t="s">
        <v>823</v>
      </c>
      <c r="X23" s="2">
        <v>356</v>
      </c>
      <c r="Y23" s="4" t="s">
        <v>838</v>
      </c>
      <c r="Z23" s="2">
        <v>454</v>
      </c>
      <c r="AA23" s="4" t="s">
        <v>104</v>
      </c>
    </row>
    <row r="24" spans="1:28" x14ac:dyDescent="0.2">
      <c r="A24" s="103"/>
      <c r="B24" s="27" t="s">
        <v>28</v>
      </c>
      <c r="C24" s="70" t="s">
        <v>820</v>
      </c>
      <c r="D24" s="2">
        <v>1122</v>
      </c>
      <c r="E24" s="4" t="s">
        <v>820</v>
      </c>
      <c r="F24" s="2">
        <v>4915</v>
      </c>
      <c r="G24" s="4" t="s">
        <v>820</v>
      </c>
      <c r="H24" s="2">
        <v>509</v>
      </c>
      <c r="I24" s="4" t="b">
        <v>1</v>
      </c>
      <c r="J24" s="2">
        <v>6434</v>
      </c>
      <c r="K24" s="4" t="str">
        <f t="shared" si="2"/>
        <v>NO</v>
      </c>
      <c r="L24" s="2">
        <f t="shared" si="3"/>
        <v>4915</v>
      </c>
      <c r="M24" s="70" t="str">
        <f t="shared" si="0"/>
        <v>NO</v>
      </c>
      <c r="N24" s="2">
        <f t="shared" si="1"/>
        <v>1122</v>
      </c>
      <c r="O24" s="4" t="b">
        <v>0</v>
      </c>
      <c r="P24" s="2">
        <v>2111</v>
      </c>
      <c r="Q24" s="4" t="s">
        <v>819</v>
      </c>
      <c r="R24" s="2">
        <v>139336</v>
      </c>
      <c r="S24" s="4" t="b">
        <v>0</v>
      </c>
      <c r="T24" s="2">
        <v>8626</v>
      </c>
      <c r="U24" s="4" t="s">
        <v>833</v>
      </c>
      <c r="V24" s="2">
        <v>13194</v>
      </c>
      <c r="W24" s="4" t="s">
        <v>823</v>
      </c>
      <c r="X24" s="2">
        <v>680</v>
      </c>
      <c r="Y24" s="4" t="s">
        <v>820</v>
      </c>
      <c r="Z24" s="2">
        <v>1234</v>
      </c>
    </row>
    <row r="25" spans="1:28" x14ac:dyDescent="0.2">
      <c r="A25" s="103"/>
      <c r="B25" s="27" t="s">
        <v>868</v>
      </c>
      <c r="C25" s="70" t="s">
        <v>820</v>
      </c>
      <c r="D25" s="2">
        <v>2489</v>
      </c>
      <c r="E25" s="4" t="s">
        <v>837</v>
      </c>
      <c r="F25" s="2">
        <v>300906</v>
      </c>
      <c r="G25" s="4" t="s">
        <v>820</v>
      </c>
      <c r="H25" s="2">
        <v>598</v>
      </c>
      <c r="I25" s="4" t="s">
        <v>833</v>
      </c>
      <c r="J25" s="2">
        <v>31904</v>
      </c>
      <c r="K25" s="4" t="str">
        <f t="shared" si="2"/>
        <v>TIMEOUT</v>
      </c>
      <c r="L25" s="2">
        <f t="shared" si="3"/>
        <v>332810</v>
      </c>
      <c r="M25" s="70" t="str">
        <f t="shared" si="0"/>
        <v>NO</v>
      </c>
      <c r="N25" s="2">
        <f t="shared" si="1"/>
        <v>2489</v>
      </c>
      <c r="O25" s="4" t="b">
        <v>0</v>
      </c>
      <c r="P25" s="2">
        <v>2136</v>
      </c>
      <c r="Q25" s="4" t="s">
        <v>819</v>
      </c>
      <c r="R25" s="2">
        <v>29300</v>
      </c>
      <c r="S25" s="4" t="b">
        <v>0</v>
      </c>
      <c r="T25" s="2">
        <v>139167</v>
      </c>
      <c r="U25" s="4" t="s">
        <v>833</v>
      </c>
      <c r="V25" s="2">
        <v>1205086</v>
      </c>
      <c r="W25" s="4" t="s">
        <v>823</v>
      </c>
      <c r="X25" s="2">
        <v>748</v>
      </c>
      <c r="Y25" s="4" t="s">
        <v>820</v>
      </c>
      <c r="Z25" s="2">
        <v>75632</v>
      </c>
    </row>
    <row r="26" spans="1:28" x14ac:dyDescent="0.2">
      <c r="A26" s="103"/>
      <c r="B26" s="27" t="s">
        <v>29</v>
      </c>
      <c r="C26" s="4" t="s">
        <v>837</v>
      </c>
      <c r="D26" s="2">
        <v>600418</v>
      </c>
      <c r="E26" s="4" t="s">
        <v>837</v>
      </c>
      <c r="F26" s="2">
        <v>300466</v>
      </c>
      <c r="G26" s="4" t="s">
        <v>837</v>
      </c>
      <c r="H26" s="2">
        <v>270299</v>
      </c>
      <c r="I26" s="4" t="b">
        <v>1</v>
      </c>
      <c r="J26" s="2">
        <v>4769</v>
      </c>
      <c r="K26" s="4" t="str">
        <f t="shared" si="2"/>
        <v>TIMEOUT</v>
      </c>
      <c r="L26" s="2">
        <f t="shared" si="3"/>
        <v>305235</v>
      </c>
      <c r="M26" s="4" t="str">
        <f t="shared" si="0"/>
        <v>TIMEOUT</v>
      </c>
      <c r="N26" s="2">
        <f t="shared" si="1"/>
        <v>905653</v>
      </c>
      <c r="O26" s="4" t="s">
        <v>883</v>
      </c>
      <c r="P26" s="2">
        <v>302278</v>
      </c>
      <c r="Q26" s="4" t="s">
        <v>819</v>
      </c>
      <c r="R26" s="2">
        <v>9071</v>
      </c>
      <c r="S26" s="4" t="s">
        <v>837</v>
      </c>
      <c r="T26" s="2">
        <v>1200294</v>
      </c>
      <c r="U26" s="4" t="s">
        <v>833</v>
      </c>
      <c r="V26" s="2">
        <v>267135</v>
      </c>
      <c r="W26" s="4" t="s">
        <v>823</v>
      </c>
      <c r="X26" s="2">
        <v>391</v>
      </c>
      <c r="Y26" s="4" t="s">
        <v>820</v>
      </c>
      <c r="Z26" s="2">
        <v>549</v>
      </c>
      <c r="AA26" s="4" t="s">
        <v>104</v>
      </c>
    </row>
    <row r="27" spans="1:28" x14ac:dyDescent="0.2">
      <c r="A27" s="103"/>
      <c r="B27" s="27" t="s">
        <v>30</v>
      </c>
      <c r="C27" s="4" t="s">
        <v>837</v>
      </c>
      <c r="D27" s="2">
        <v>600459</v>
      </c>
      <c r="E27" s="4" t="s">
        <v>837</v>
      </c>
      <c r="F27" s="2">
        <v>300405</v>
      </c>
      <c r="G27" s="4" t="s">
        <v>837</v>
      </c>
      <c r="H27" s="2">
        <v>270364</v>
      </c>
      <c r="I27" s="4" t="b">
        <v>1</v>
      </c>
      <c r="J27" s="2">
        <v>4730</v>
      </c>
      <c r="K27" s="4" t="str">
        <f t="shared" si="2"/>
        <v>TIMEOUT</v>
      </c>
      <c r="L27" s="2">
        <f t="shared" si="3"/>
        <v>305135</v>
      </c>
      <c r="M27" s="4" t="str">
        <f t="shared" si="0"/>
        <v>TIMEOUT</v>
      </c>
      <c r="N27" s="2">
        <f t="shared" si="1"/>
        <v>905594</v>
      </c>
      <c r="O27" s="4" t="s">
        <v>883</v>
      </c>
      <c r="P27" s="2">
        <v>302106</v>
      </c>
      <c r="Q27" s="4" t="s">
        <v>819</v>
      </c>
      <c r="R27" s="2">
        <v>7678</v>
      </c>
      <c r="S27" s="4" t="s">
        <v>837</v>
      </c>
      <c r="T27" s="2">
        <v>1200305</v>
      </c>
      <c r="U27" s="4" t="s">
        <v>833</v>
      </c>
      <c r="V27" s="2">
        <v>266290</v>
      </c>
      <c r="W27" s="4" t="s">
        <v>823</v>
      </c>
      <c r="X27" s="2">
        <v>399</v>
      </c>
      <c r="Y27" s="4" t="s">
        <v>820</v>
      </c>
      <c r="Z27" s="2">
        <v>595</v>
      </c>
      <c r="AA27" s="4" t="s">
        <v>104</v>
      </c>
    </row>
    <row r="28" spans="1:28" x14ac:dyDescent="0.2">
      <c r="A28" s="103"/>
      <c r="B28" s="27" t="s">
        <v>31</v>
      </c>
      <c r="C28" s="70" t="s">
        <v>820</v>
      </c>
      <c r="D28" s="2">
        <v>5923</v>
      </c>
      <c r="E28" s="4" t="s">
        <v>820</v>
      </c>
      <c r="F28" s="2">
        <v>20865</v>
      </c>
      <c r="G28" s="4" t="s">
        <v>820</v>
      </c>
      <c r="H28" s="2">
        <v>461</v>
      </c>
      <c r="I28" s="4" t="s">
        <v>833</v>
      </c>
      <c r="J28" s="2">
        <v>30929</v>
      </c>
      <c r="K28" s="4" t="str">
        <f t="shared" si="2"/>
        <v>NO</v>
      </c>
      <c r="L28" s="2">
        <f t="shared" si="3"/>
        <v>20865</v>
      </c>
      <c r="M28" s="70" t="str">
        <f t="shared" si="0"/>
        <v>NO</v>
      </c>
      <c r="N28" s="2">
        <f t="shared" si="1"/>
        <v>5923</v>
      </c>
      <c r="O28" s="4" t="b">
        <v>0</v>
      </c>
      <c r="P28" s="2">
        <v>2201</v>
      </c>
      <c r="Q28" s="4" t="s">
        <v>819</v>
      </c>
      <c r="R28" s="2">
        <v>106323</v>
      </c>
      <c r="S28" s="4" t="b">
        <v>0</v>
      </c>
      <c r="T28" s="2">
        <v>3294</v>
      </c>
      <c r="U28" s="4" t="s">
        <v>833</v>
      </c>
      <c r="V28" s="2">
        <v>1201010</v>
      </c>
      <c r="W28" s="4" t="s">
        <v>823</v>
      </c>
      <c r="X28" s="2">
        <v>550</v>
      </c>
      <c r="Y28" s="4" t="s">
        <v>820</v>
      </c>
      <c r="Z28" s="2">
        <v>566</v>
      </c>
      <c r="AB28" s="85"/>
    </row>
    <row r="29" spans="1:28" x14ac:dyDescent="0.2">
      <c r="A29" s="103"/>
      <c r="B29" s="27" t="s">
        <v>32</v>
      </c>
      <c r="C29" s="70" t="s">
        <v>818</v>
      </c>
      <c r="D29" s="2">
        <v>82397</v>
      </c>
      <c r="E29" s="4" t="s">
        <v>837</v>
      </c>
      <c r="F29" s="2">
        <v>300456</v>
      </c>
      <c r="G29" s="4" t="s">
        <v>818</v>
      </c>
      <c r="H29" s="2">
        <v>521</v>
      </c>
      <c r="I29" s="4" t="s">
        <v>833</v>
      </c>
      <c r="J29" s="2">
        <v>30963</v>
      </c>
      <c r="K29" s="4" t="str">
        <f t="shared" si="2"/>
        <v>TIMEOUT</v>
      </c>
      <c r="L29" s="2">
        <f t="shared" si="3"/>
        <v>331419</v>
      </c>
      <c r="M29" s="70" t="str">
        <f t="shared" si="0"/>
        <v>YES</v>
      </c>
      <c r="N29" s="2">
        <f t="shared" si="1"/>
        <v>82397</v>
      </c>
      <c r="O29" s="4" t="b">
        <v>1</v>
      </c>
      <c r="P29" s="2">
        <v>182500</v>
      </c>
      <c r="Q29" s="4" t="s">
        <v>818</v>
      </c>
      <c r="R29" s="2">
        <v>8395</v>
      </c>
      <c r="S29" s="4" t="s">
        <v>838</v>
      </c>
      <c r="T29" s="2">
        <v>11450</v>
      </c>
      <c r="U29" s="4" t="s">
        <v>837</v>
      </c>
      <c r="V29" s="2">
        <v>1211747</v>
      </c>
      <c r="W29" s="4" t="s">
        <v>876</v>
      </c>
      <c r="X29" s="2">
        <v>545</v>
      </c>
      <c r="Y29" s="4" t="s">
        <v>818</v>
      </c>
      <c r="Z29" s="2">
        <v>983</v>
      </c>
    </row>
    <row r="30" spans="1:28" x14ac:dyDescent="0.2">
      <c r="A30" s="103"/>
      <c r="B30" s="27" t="s">
        <v>35</v>
      </c>
      <c r="C30" s="70" t="s">
        <v>820</v>
      </c>
      <c r="D30" s="2">
        <v>175403</v>
      </c>
      <c r="E30" s="4" t="s">
        <v>837</v>
      </c>
      <c r="F30" s="2">
        <v>300771</v>
      </c>
      <c r="G30" s="4" t="s">
        <v>820</v>
      </c>
      <c r="H30" s="2">
        <v>1515</v>
      </c>
      <c r="I30" s="4" t="s">
        <v>833</v>
      </c>
      <c r="J30" s="2">
        <v>31359</v>
      </c>
      <c r="K30" s="4" t="str">
        <f t="shared" si="2"/>
        <v>TIMEOUT</v>
      </c>
      <c r="L30" s="2">
        <f t="shared" si="3"/>
        <v>332130</v>
      </c>
      <c r="M30" s="70" t="str">
        <f t="shared" si="0"/>
        <v>NO</v>
      </c>
      <c r="N30" s="2">
        <f t="shared" si="1"/>
        <v>175403</v>
      </c>
      <c r="O30" s="4" t="b">
        <v>0</v>
      </c>
      <c r="P30" s="2">
        <v>2061</v>
      </c>
      <c r="Q30" s="79" t="s">
        <v>820</v>
      </c>
      <c r="R30" s="2">
        <v>20315</v>
      </c>
      <c r="S30" s="4" t="b">
        <v>0</v>
      </c>
      <c r="T30" s="2">
        <v>2375</v>
      </c>
      <c r="U30" s="4" t="s">
        <v>833</v>
      </c>
      <c r="V30" s="2">
        <v>1200975</v>
      </c>
      <c r="W30" s="4" t="s">
        <v>823</v>
      </c>
      <c r="X30" s="2">
        <v>450</v>
      </c>
      <c r="Y30" s="4" t="s">
        <v>820</v>
      </c>
      <c r="Z30" s="2">
        <v>529</v>
      </c>
      <c r="AA30" s="4" t="s">
        <v>840</v>
      </c>
    </row>
    <row r="31" spans="1:28" x14ac:dyDescent="0.2">
      <c r="A31" s="103"/>
      <c r="B31" s="27" t="s">
        <v>36</v>
      </c>
      <c r="C31" s="70" t="s">
        <v>818</v>
      </c>
      <c r="D31" s="2">
        <v>10760</v>
      </c>
      <c r="E31" s="4" t="s">
        <v>818</v>
      </c>
      <c r="F31" s="2">
        <v>12007</v>
      </c>
      <c r="G31" s="4" t="s">
        <v>818</v>
      </c>
      <c r="H31" s="2">
        <v>373</v>
      </c>
      <c r="I31" s="4" t="b">
        <v>1</v>
      </c>
      <c r="J31" s="2">
        <v>5218</v>
      </c>
      <c r="K31" s="4" t="str">
        <f t="shared" si="2"/>
        <v>YES</v>
      </c>
      <c r="L31" s="2">
        <f t="shared" si="3"/>
        <v>12007</v>
      </c>
      <c r="M31" s="70" t="str">
        <f t="shared" si="0"/>
        <v>YES</v>
      </c>
      <c r="N31" s="2">
        <f t="shared" si="1"/>
        <v>10760</v>
      </c>
      <c r="O31" s="4" t="b">
        <v>1</v>
      </c>
      <c r="P31" s="2">
        <v>117565</v>
      </c>
      <c r="Q31" s="4" t="s">
        <v>818</v>
      </c>
      <c r="R31" s="2">
        <v>3458</v>
      </c>
      <c r="S31" s="4" t="b">
        <v>1</v>
      </c>
      <c r="T31" s="2">
        <v>5640</v>
      </c>
      <c r="U31" s="4" t="b">
        <v>1</v>
      </c>
      <c r="V31" s="2">
        <v>18126</v>
      </c>
      <c r="W31" s="4" t="s">
        <v>823</v>
      </c>
      <c r="X31" s="2">
        <v>442</v>
      </c>
      <c r="Y31" s="4" t="s">
        <v>818</v>
      </c>
      <c r="Z31" s="2">
        <v>642</v>
      </c>
      <c r="AA31" s="4" t="s">
        <v>840</v>
      </c>
    </row>
    <row r="32" spans="1:28" x14ac:dyDescent="0.2">
      <c r="A32" s="103"/>
      <c r="B32" s="27" t="s">
        <v>37</v>
      </c>
      <c r="C32" s="70" t="s">
        <v>820</v>
      </c>
      <c r="D32" s="2">
        <v>420</v>
      </c>
      <c r="E32" s="4" t="s">
        <v>837</v>
      </c>
      <c r="F32" s="2">
        <v>301407</v>
      </c>
      <c r="G32" s="4" t="s">
        <v>820</v>
      </c>
      <c r="H32" s="2">
        <v>385</v>
      </c>
      <c r="I32" s="4" t="b">
        <v>1</v>
      </c>
      <c r="J32" s="2">
        <v>4381</v>
      </c>
      <c r="K32" s="4" t="str">
        <f t="shared" si="2"/>
        <v>TIMEOUT</v>
      </c>
      <c r="L32" s="2">
        <f t="shared" si="3"/>
        <v>305788</v>
      </c>
      <c r="M32" s="70" t="str">
        <f t="shared" si="0"/>
        <v>NO</v>
      </c>
      <c r="N32" s="2">
        <f t="shared" si="1"/>
        <v>420</v>
      </c>
      <c r="O32" s="4" t="b">
        <v>0</v>
      </c>
      <c r="P32" s="2">
        <v>61966</v>
      </c>
      <c r="Q32" s="4" t="s">
        <v>837</v>
      </c>
      <c r="R32" s="2">
        <v>1210032</v>
      </c>
      <c r="S32" s="4" t="s">
        <v>833</v>
      </c>
      <c r="T32" s="2">
        <v>22863</v>
      </c>
      <c r="U32" s="4" t="s">
        <v>838</v>
      </c>
      <c r="V32" s="2">
        <v>6712</v>
      </c>
      <c r="W32" s="4" t="s">
        <v>823</v>
      </c>
      <c r="X32" s="2">
        <v>432</v>
      </c>
      <c r="Y32" s="4" t="s">
        <v>820</v>
      </c>
      <c r="Z32" s="2">
        <v>443</v>
      </c>
      <c r="AA32" s="4" t="s">
        <v>840</v>
      </c>
    </row>
    <row r="33" spans="1:28" x14ac:dyDescent="0.2">
      <c r="A33" s="103"/>
      <c r="B33" s="27" t="s">
        <v>38</v>
      </c>
      <c r="C33" s="70" t="s">
        <v>818</v>
      </c>
      <c r="D33" s="2">
        <v>946</v>
      </c>
      <c r="E33" s="4" t="s">
        <v>818</v>
      </c>
      <c r="F33" s="2">
        <v>11891</v>
      </c>
      <c r="G33" s="71" t="s">
        <v>820</v>
      </c>
      <c r="H33" s="2">
        <v>387</v>
      </c>
      <c r="I33" s="4" t="b">
        <v>1</v>
      </c>
      <c r="J33" s="2">
        <v>4422</v>
      </c>
      <c r="K33" s="4" t="str">
        <f t="shared" si="2"/>
        <v>YES</v>
      </c>
      <c r="L33" s="2">
        <f t="shared" si="3"/>
        <v>11891</v>
      </c>
      <c r="M33" s="70" t="str">
        <f t="shared" si="0"/>
        <v>YES</v>
      </c>
      <c r="N33" s="2">
        <f t="shared" si="1"/>
        <v>946</v>
      </c>
      <c r="O33" s="4" t="b">
        <v>1</v>
      </c>
      <c r="P33" s="2">
        <v>124469</v>
      </c>
      <c r="Q33" s="4" t="s">
        <v>837</v>
      </c>
      <c r="R33" s="2">
        <v>1210032</v>
      </c>
      <c r="S33" s="4" t="s">
        <v>833</v>
      </c>
      <c r="T33" s="2">
        <v>24955</v>
      </c>
      <c r="U33" s="4" t="b">
        <v>1</v>
      </c>
      <c r="V33" s="2">
        <v>5708</v>
      </c>
      <c r="W33" s="4" t="s">
        <v>876</v>
      </c>
      <c r="X33" s="2">
        <v>362</v>
      </c>
      <c r="Y33" s="4" t="s">
        <v>820</v>
      </c>
      <c r="Z33" s="2">
        <v>582</v>
      </c>
      <c r="AA33" s="4" t="s">
        <v>840</v>
      </c>
    </row>
    <row r="34" spans="1:28" x14ac:dyDescent="0.2">
      <c r="A34" s="103"/>
      <c r="B34" s="27" t="s">
        <v>39</v>
      </c>
      <c r="C34" s="70" t="s">
        <v>820</v>
      </c>
      <c r="D34" s="2">
        <v>538</v>
      </c>
      <c r="E34" s="4" t="s">
        <v>820</v>
      </c>
      <c r="F34" s="2">
        <v>6478</v>
      </c>
      <c r="G34" s="4" t="s">
        <v>820</v>
      </c>
      <c r="H34" s="2">
        <v>388</v>
      </c>
      <c r="I34" s="4" t="b">
        <v>0</v>
      </c>
      <c r="J34" s="2">
        <v>4528</v>
      </c>
      <c r="K34" s="4" t="str">
        <f t="shared" si="2"/>
        <v>NO</v>
      </c>
      <c r="L34" s="2">
        <f t="shared" si="3"/>
        <v>6478</v>
      </c>
      <c r="M34" s="70" t="str">
        <f t="shared" si="0"/>
        <v>NO</v>
      </c>
      <c r="N34" s="2">
        <f t="shared" si="1"/>
        <v>538</v>
      </c>
      <c r="O34" s="4" t="b">
        <v>0</v>
      </c>
      <c r="P34" s="2">
        <v>2056</v>
      </c>
      <c r="Q34" s="79" t="s">
        <v>820</v>
      </c>
      <c r="R34" s="2">
        <v>8250</v>
      </c>
      <c r="S34" s="4" t="b">
        <v>0</v>
      </c>
      <c r="T34" s="2">
        <v>2253</v>
      </c>
      <c r="U34" s="4" t="s">
        <v>833</v>
      </c>
      <c r="V34" s="2">
        <v>1201030</v>
      </c>
      <c r="W34" s="4" t="s">
        <v>823</v>
      </c>
      <c r="X34" s="2">
        <v>392</v>
      </c>
      <c r="Y34" s="4" t="s">
        <v>820</v>
      </c>
      <c r="Z34" s="2">
        <v>414</v>
      </c>
      <c r="AA34" s="4" t="s">
        <v>840</v>
      </c>
    </row>
    <row r="35" spans="1:28" x14ac:dyDescent="0.2">
      <c r="A35" s="103"/>
      <c r="B35" s="27" t="s">
        <v>40</v>
      </c>
      <c r="C35" s="70" t="s">
        <v>820</v>
      </c>
      <c r="D35" s="2">
        <v>457</v>
      </c>
      <c r="E35" s="4" t="s">
        <v>820</v>
      </c>
      <c r="F35" s="2">
        <v>2488</v>
      </c>
      <c r="G35" s="4" t="s">
        <v>820</v>
      </c>
      <c r="H35" s="2">
        <v>392</v>
      </c>
      <c r="I35" s="4" t="b">
        <v>1</v>
      </c>
      <c r="J35" s="2">
        <v>4476</v>
      </c>
      <c r="K35" s="4" t="str">
        <f t="shared" si="2"/>
        <v>NO</v>
      </c>
      <c r="L35" s="2">
        <f t="shared" si="3"/>
        <v>2488</v>
      </c>
      <c r="M35" s="70" t="str">
        <f t="shared" si="0"/>
        <v>NO</v>
      </c>
      <c r="N35" s="2">
        <f t="shared" si="1"/>
        <v>457</v>
      </c>
      <c r="O35" s="4" t="b">
        <v>0</v>
      </c>
      <c r="P35" s="2">
        <v>2081</v>
      </c>
      <c r="Q35" s="79" t="s">
        <v>820</v>
      </c>
      <c r="R35" s="2">
        <v>9249</v>
      </c>
      <c r="S35" s="4" t="s">
        <v>838</v>
      </c>
      <c r="T35" s="2">
        <v>6626</v>
      </c>
      <c r="U35" s="4" t="s">
        <v>833</v>
      </c>
      <c r="V35" s="2">
        <v>7997</v>
      </c>
      <c r="W35" s="4" t="s">
        <v>823</v>
      </c>
      <c r="X35" s="2">
        <v>457</v>
      </c>
      <c r="Y35" s="4" t="s">
        <v>820</v>
      </c>
      <c r="Z35" s="2">
        <v>452</v>
      </c>
    </row>
    <row r="36" spans="1:28" x14ac:dyDescent="0.2">
      <c r="A36" s="103"/>
      <c r="B36" s="27" t="s">
        <v>41</v>
      </c>
      <c r="C36" s="70" t="s">
        <v>818</v>
      </c>
      <c r="D36" s="2">
        <v>549</v>
      </c>
      <c r="E36" s="4" t="s">
        <v>818</v>
      </c>
      <c r="F36" s="2">
        <v>2484</v>
      </c>
      <c r="G36" s="4" t="s">
        <v>818</v>
      </c>
      <c r="H36" s="2">
        <v>392</v>
      </c>
      <c r="I36" s="4" t="b">
        <v>1</v>
      </c>
      <c r="J36" s="2">
        <v>4443</v>
      </c>
      <c r="K36" s="4" t="str">
        <f t="shared" si="2"/>
        <v>YES</v>
      </c>
      <c r="L36" s="2">
        <f t="shared" si="3"/>
        <v>2484</v>
      </c>
      <c r="M36" s="70" t="str">
        <f t="shared" si="0"/>
        <v>YES</v>
      </c>
      <c r="N36" s="2">
        <f t="shared" si="1"/>
        <v>549</v>
      </c>
      <c r="O36" s="4" t="b">
        <v>1</v>
      </c>
      <c r="P36" s="2">
        <v>192199</v>
      </c>
      <c r="Q36" s="4" t="s">
        <v>818</v>
      </c>
      <c r="R36" s="2">
        <v>4988</v>
      </c>
      <c r="S36" s="4" t="b">
        <v>1</v>
      </c>
      <c r="T36" s="2">
        <v>3001</v>
      </c>
      <c r="U36" s="4" t="b">
        <v>1</v>
      </c>
      <c r="V36" s="2">
        <v>7922</v>
      </c>
      <c r="W36" s="4" t="s">
        <v>823</v>
      </c>
      <c r="X36" s="2">
        <v>455</v>
      </c>
      <c r="Y36" s="4" t="s">
        <v>818</v>
      </c>
      <c r="Z36" s="2">
        <v>3454</v>
      </c>
    </row>
    <row r="37" spans="1:28" x14ac:dyDescent="0.2">
      <c r="A37" s="103"/>
      <c r="B37" s="27" t="s">
        <v>42</v>
      </c>
      <c r="C37" s="70" t="s">
        <v>820</v>
      </c>
      <c r="D37" s="2">
        <v>514</v>
      </c>
      <c r="E37" s="4" t="s">
        <v>838</v>
      </c>
      <c r="F37" s="2">
        <v>319</v>
      </c>
      <c r="G37" s="4" t="s">
        <v>838</v>
      </c>
      <c r="H37" s="2">
        <v>263</v>
      </c>
      <c r="I37" s="4" t="s">
        <v>833</v>
      </c>
      <c r="J37" s="2">
        <v>31262</v>
      </c>
      <c r="K37" s="4" t="str">
        <f t="shared" si="2"/>
        <v>ERROR</v>
      </c>
      <c r="L37" s="2">
        <f t="shared" si="3"/>
        <v>31581</v>
      </c>
      <c r="M37" s="70" t="str">
        <f t="shared" si="0"/>
        <v>NO</v>
      </c>
      <c r="N37" s="2">
        <f t="shared" si="1"/>
        <v>514</v>
      </c>
      <c r="O37" s="4" t="s">
        <v>883</v>
      </c>
      <c r="P37" s="2">
        <v>156308</v>
      </c>
      <c r="Q37" s="4" t="s">
        <v>819</v>
      </c>
      <c r="R37" s="2">
        <v>2576</v>
      </c>
      <c r="S37" s="4" t="b">
        <v>0</v>
      </c>
      <c r="T37" s="2">
        <v>2568</v>
      </c>
      <c r="U37" s="4" t="s">
        <v>833</v>
      </c>
      <c r="V37" s="2">
        <v>1201099</v>
      </c>
      <c r="W37" s="4" t="s">
        <v>823</v>
      </c>
      <c r="X37" s="2">
        <v>517</v>
      </c>
      <c r="Y37" s="4" t="s">
        <v>820</v>
      </c>
      <c r="Z37" s="2">
        <v>670</v>
      </c>
      <c r="AA37" s="4" t="s">
        <v>102</v>
      </c>
    </row>
    <row r="38" spans="1:28" x14ac:dyDescent="0.2">
      <c r="A38" s="103"/>
      <c r="B38" s="27" t="s">
        <v>43</v>
      </c>
      <c r="C38" s="70" t="s">
        <v>818</v>
      </c>
      <c r="D38" s="2">
        <v>532</v>
      </c>
      <c r="E38" s="4" t="s">
        <v>838</v>
      </c>
      <c r="F38" s="2">
        <v>303</v>
      </c>
      <c r="G38" s="4" t="s">
        <v>838</v>
      </c>
      <c r="H38" s="2">
        <v>331</v>
      </c>
      <c r="I38" s="4" t="b">
        <v>1</v>
      </c>
      <c r="J38" s="2">
        <v>15971</v>
      </c>
      <c r="K38" s="4" t="str">
        <f t="shared" si="2"/>
        <v>ERROR</v>
      </c>
      <c r="L38" s="2">
        <f t="shared" si="3"/>
        <v>16274</v>
      </c>
      <c r="M38" s="70" t="str">
        <f t="shared" si="0"/>
        <v>YES</v>
      </c>
      <c r="N38" s="2">
        <f t="shared" si="1"/>
        <v>532</v>
      </c>
      <c r="O38" s="4" t="b">
        <v>1</v>
      </c>
      <c r="P38" s="2">
        <v>34583</v>
      </c>
      <c r="Q38" s="4" t="s">
        <v>819</v>
      </c>
      <c r="R38" s="2">
        <v>2615</v>
      </c>
      <c r="S38" s="4" t="b">
        <v>1</v>
      </c>
      <c r="T38" s="2">
        <v>2878</v>
      </c>
      <c r="U38" s="4" t="s">
        <v>833</v>
      </c>
      <c r="V38" s="2">
        <v>1201019</v>
      </c>
      <c r="W38" s="4" t="s">
        <v>876</v>
      </c>
      <c r="X38" s="2">
        <v>417</v>
      </c>
      <c r="Y38" s="4" t="s">
        <v>820</v>
      </c>
      <c r="Z38" s="2">
        <v>616</v>
      </c>
      <c r="AA38" s="4" t="s">
        <v>102</v>
      </c>
    </row>
    <row r="39" spans="1:28" x14ac:dyDescent="0.2">
      <c r="A39" s="103"/>
      <c r="B39" s="27" t="s">
        <v>44</v>
      </c>
      <c r="C39" s="4" t="s">
        <v>837</v>
      </c>
      <c r="D39" s="2">
        <v>600420</v>
      </c>
      <c r="E39" s="4" t="s">
        <v>837</v>
      </c>
      <c r="F39" s="2">
        <v>300800</v>
      </c>
      <c r="G39" s="4" t="s">
        <v>837</v>
      </c>
      <c r="H39" s="2">
        <v>270332</v>
      </c>
      <c r="I39" s="4" t="s">
        <v>833</v>
      </c>
      <c r="J39" s="2">
        <v>31205</v>
      </c>
      <c r="K39" s="4" t="str">
        <f t="shared" si="2"/>
        <v>TIMEOUT</v>
      </c>
      <c r="L39" s="2">
        <f t="shared" si="3"/>
        <v>332005</v>
      </c>
      <c r="M39" s="4" t="str">
        <f t="shared" si="0"/>
        <v>TIMEOUT</v>
      </c>
      <c r="N39" s="2">
        <f t="shared" si="1"/>
        <v>932425</v>
      </c>
      <c r="O39" s="4" t="s">
        <v>883</v>
      </c>
      <c r="P39" s="2">
        <v>301744</v>
      </c>
      <c r="Q39" s="4" t="s">
        <v>819</v>
      </c>
      <c r="R39" s="2">
        <v>3414</v>
      </c>
      <c r="S39" s="4" t="s">
        <v>833</v>
      </c>
      <c r="T39" s="2">
        <v>51521</v>
      </c>
      <c r="U39" s="4" t="s">
        <v>833</v>
      </c>
      <c r="V39" s="2">
        <v>8807</v>
      </c>
      <c r="W39" s="4" t="s">
        <v>823</v>
      </c>
      <c r="X39" s="2">
        <v>1398</v>
      </c>
      <c r="Y39" s="4" t="s">
        <v>820</v>
      </c>
      <c r="Z39" s="2">
        <v>3374</v>
      </c>
      <c r="AA39" s="4" t="s">
        <v>99</v>
      </c>
      <c r="AB39" s="85"/>
    </row>
    <row r="40" spans="1:28" x14ac:dyDescent="0.2">
      <c r="A40" s="103"/>
      <c r="B40" s="27" t="s">
        <v>45</v>
      </c>
      <c r="C40" s="4" t="s">
        <v>837</v>
      </c>
      <c r="D40" s="2">
        <v>600454</v>
      </c>
      <c r="E40" s="4" t="s">
        <v>837</v>
      </c>
      <c r="F40" s="2">
        <v>300826</v>
      </c>
      <c r="G40" s="70" t="s">
        <v>818</v>
      </c>
      <c r="H40" s="2">
        <v>38902</v>
      </c>
      <c r="I40" s="4" t="b">
        <v>1</v>
      </c>
      <c r="J40" s="2">
        <v>6725</v>
      </c>
      <c r="K40" s="4" t="str">
        <f t="shared" si="2"/>
        <v>TIMEOUT</v>
      </c>
      <c r="L40" s="2">
        <f t="shared" si="3"/>
        <v>307551</v>
      </c>
      <c r="M40" s="4" t="str">
        <f t="shared" si="0"/>
        <v>TIMEOUT</v>
      </c>
      <c r="N40" s="2">
        <f t="shared" si="1"/>
        <v>908005</v>
      </c>
      <c r="O40" s="4" t="b">
        <v>1</v>
      </c>
      <c r="P40" s="2">
        <v>182602</v>
      </c>
      <c r="Q40" s="4" t="s">
        <v>819</v>
      </c>
      <c r="R40" s="2">
        <v>3446</v>
      </c>
      <c r="S40" s="4" t="b">
        <v>1</v>
      </c>
      <c r="T40" s="2">
        <v>15334</v>
      </c>
      <c r="U40" s="4" t="s">
        <v>833</v>
      </c>
      <c r="V40" s="2">
        <v>8787</v>
      </c>
      <c r="W40" s="4" t="s">
        <v>876</v>
      </c>
      <c r="X40" s="2">
        <v>1204</v>
      </c>
      <c r="Y40" s="4" t="s">
        <v>837</v>
      </c>
      <c r="Z40" s="2">
        <v>1210030</v>
      </c>
      <c r="AA40" s="4" t="s">
        <v>99</v>
      </c>
    </row>
    <row r="41" spans="1:28" x14ac:dyDescent="0.2">
      <c r="A41" s="103"/>
      <c r="B41" s="27" t="s">
        <v>46</v>
      </c>
      <c r="C41" s="4" t="s">
        <v>837</v>
      </c>
      <c r="D41" s="2">
        <v>600535</v>
      </c>
      <c r="E41" s="4" t="s">
        <v>837</v>
      </c>
      <c r="F41" s="2">
        <v>300470</v>
      </c>
      <c r="G41" s="4" t="s">
        <v>837</v>
      </c>
      <c r="H41" s="2">
        <v>270351</v>
      </c>
      <c r="I41" s="4" t="s">
        <v>837</v>
      </c>
      <c r="J41" s="2">
        <v>3741</v>
      </c>
      <c r="K41" s="4" t="str">
        <f t="shared" si="2"/>
        <v>TIMEOUT</v>
      </c>
      <c r="L41" s="2">
        <f t="shared" si="3"/>
        <v>304211</v>
      </c>
      <c r="M41" s="4" t="str">
        <f t="shared" si="0"/>
        <v>TIMEOUT</v>
      </c>
      <c r="N41" s="2">
        <f t="shared" si="1"/>
        <v>904746</v>
      </c>
      <c r="O41" s="4" t="b">
        <v>0</v>
      </c>
      <c r="P41" s="2">
        <v>3081</v>
      </c>
      <c r="Q41" s="4" t="s">
        <v>819</v>
      </c>
      <c r="R41" s="2">
        <v>4363</v>
      </c>
      <c r="S41" s="4" t="s">
        <v>837</v>
      </c>
      <c r="T41" s="2">
        <v>1200355</v>
      </c>
      <c r="U41" s="4" t="s">
        <v>838</v>
      </c>
      <c r="V41" s="2">
        <v>3862</v>
      </c>
      <c r="W41" s="4" t="s">
        <v>823</v>
      </c>
      <c r="X41" s="2">
        <v>4636</v>
      </c>
      <c r="Y41" s="4" t="s">
        <v>838</v>
      </c>
      <c r="Z41" s="2">
        <v>541</v>
      </c>
      <c r="AA41" s="4" t="s">
        <v>103</v>
      </c>
      <c r="AB41" s="85"/>
    </row>
    <row r="42" spans="1:28" x14ac:dyDescent="0.2">
      <c r="A42" s="103"/>
      <c r="B42" s="27" t="s">
        <v>47</v>
      </c>
      <c r="C42" s="4" t="s">
        <v>837</v>
      </c>
      <c r="D42" s="2">
        <v>600452</v>
      </c>
      <c r="E42" s="4" t="s">
        <v>837</v>
      </c>
      <c r="F42" s="2">
        <v>300390</v>
      </c>
      <c r="G42" s="4" t="s">
        <v>837</v>
      </c>
      <c r="H42" s="2">
        <v>270381</v>
      </c>
      <c r="I42" s="4" t="s">
        <v>837</v>
      </c>
      <c r="J42" s="2">
        <v>3708</v>
      </c>
      <c r="K42" s="4" t="str">
        <f t="shared" si="2"/>
        <v>TIMEOUT</v>
      </c>
      <c r="L42" s="2">
        <f t="shared" si="3"/>
        <v>304098</v>
      </c>
      <c r="M42" s="4" t="str">
        <f t="shared" si="0"/>
        <v>TIMEOUT</v>
      </c>
      <c r="N42" s="2">
        <f t="shared" si="1"/>
        <v>904550</v>
      </c>
      <c r="O42" s="4" t="b">
        <v>1</v>
      </c>
      <c r="P42" s="2">
        <v>182892</v>
      </c>
      <c r="Q42" s="4" t="s">
        <v>819</v>
      </c>
      <c r="R42" s="2">
        <v>4638</v>
      </c>
      <c r="S42" s="4" t="s">
        <v>837</v>
      </c>
      <c r="T42" s="2">
        <v>1200433</v>
      </c>
      <c r="U42" s="4" t="s">
        <v>838</v>
      </c>
      <c r="V42" s="2">
        <v>3857</v>
      </c>
      <c r="W42" s="4" t="s">
        <v>823</v>
      </c>
      <c r="X42" s="2">
        <v>4608</v>
      </c>
      <c r="Y42" s="4" t="s">
        <v>838</v>
      </c>
      <c r="Z42" s="2">
        <v>413</v>
      </c>
      <c r="AA42" s="4" t="s">
        <v>103</v>
      </c>
      <c r="AB42" s="85"/>
    </row>
    <row r="43" spans="1:28" x14ac:dyDescent="0.2">
      <c r="A43" s="103"/>
      <c r="B43" s="27" t="s">
        <v>48</v>
      </c>
      <c r="C43" s="70" t="s">
        <v>820</v>
      </c>
      <c r="D43" s="2">
        <v>939</v>
      </c>
      <c r="E43" s="4" t="s">
        <v>820</v>
      </c>
      <c r="F43" s="2">
        <v>2524</v>
      </c>
      <c r="G43" s="4" t="s">
        <v>820</v>
      </c>
      <c r="H43" s="2">
        <v>376</v>
      </c>
      <c r="I43" s="4" t="s">
        <v>833</v>
      </c>
      <c r="J43" s="2">
        <v>31288</v>
      </c>
      <c r="K43" s="4" t="str">
        <f t="shared" si="2"/>
        <v>NO</v>
      </c>
      <c r="L43" s="2">
        <f t="shared" si="3"/>
        <v>2524</v>
      </c>
      <c r="M43" s="70" t="str">
        <f t="shared" si="0"/>
        <v>NO</v>
      </c>
      <c r="N43" s="2">
        <f t="shared" si="1"/>
        <v>939</v>
      </c>
      <c r="O43" s="4" t="b">
        <v>0</v>
      </c>
      <c r="P43" s="2">
        <v>2682</v>
      </c>
      <c r="Q43" s="79" t="s">
        <v>820</v>
      </c>
      <c r="R43" s="2">
        <v>6285</v>
      </c>
      <c r="S43" s="4" t="b">
        <v>0</v>
      </c>
      <c r="T43" s="2">
        <v>3346</v>
      </c>
      <c r="U43" s="4" t="s">
        <v>833</v>
      </c>
      <c r="V43" s="2">
        <v>1201040</v>
      </c>
      <c r="W43" s="4" t="s">
        <v>823</v>
      </c>
      <c r="X43" s="2">
        <v>716</v>
      </c>
      <c r="Y43" s="4" t="s">
        <v>820</v>
      </c>
      <c r="Z43" s="2">
        <v>713</v>
      </c>
    </row>
    <row r="44" spans="1:28" x14ac:dyDescent="0.2">
      <c r="A44" s="103"/>
      <c r="B44" s="27" t="s">
        <v>49</v>
      </c>
      <c r="C44" s="4" t="s">
        <v>837</v>
      </c>
      <c r="D44" s="2">
        <v>600488</v>
      </c>
      <c r="E44" s="70" t="s">
        <v>818</v>
      </c>
      <c r="F44" s="2">
        <v>3930</v>
      </c>
      <c r="G44" s="4" t="s">
        <v>818</v>
      </c>
      <c r="H44" s="2">
        <v>462</v>
      </c>
      <c r="I44" s="4" t="b">
        <v>1</v>
      </c>
      <c r="J44" s="2">
        <v>4454</v>
      </c>
      <c r="K44" s="70" t="str">
        <f t="shared" si="2"/>
        <v>YES</v>
      </c>
      <c r="L44" s="2">
        <f t="shared" si="3"/>
        <v>3930</v>
      </c>
      <c r="M44" s="70" t="str">
        <f t="shared" si="0"/>
        <v>YES</v>
      </c>
      <c r="N44" s="2">
        <f t="shared" si="1"/>
        <v>604418</v>
      </c>
      <c r="O44" s="4" t="b">
        <v>1</v>
      </c>
      <c r="P44" s="2">
        <v>187619</v>
      </c>
      <c r="Q44" s="4" t="s">
        <v>818</v>
      </c>
      <c r="R44" s="2">
        <v>7289</v>
      </c>
      <c r="S44" s="4" t="b">
        <v>1</v>
      </c>
      <c r="T44" s="2">
        <v>3316</v>
      </c>
      <c r="U44" s="4" t="s">
        <v>833</v>
      </c>
      <c r="V44" s="2">
        <v>55095</v>
      </c>
      <c r="W44" s="4" t="s">
        <v>823</v>
      </c>
      <c r="X44" s="2">
        <v>415</v>
      </c>
      <c r="Y44" s="4" t="s">
        <v>818</v>
      </c>
      <c r="Z44" s="2">
        <v>9606</v>
      </c>
    </row>
    <row r="45" spans="1:28" x14ac:dyDescent="0.2">
      <c r="A45" s="103"/>
      <c r="B45" s="27" t="s">
        <v>50</v>
      </c>
      <c r="C45" s="70" t="s">
        <v>820</v>
      </c>
      <c r="D45" s="2">
        <v>485</v>
      </c>
      <c r="E45" s="4" t="s">
        <v>820</v>
      </c>
      <c r="F45" s="2">
        <v>462</v>
      </c>
      <c r="G45" s="4" t="s">
        <v>820</v>
      </c>
      <c r="H45" s="2">
        <v>363</v>
      </c>
      <c r="I45" s="4" t="b">
        <v>1</v>
      </c>
      <c r="J45" s="2">
        <v>4242</v>
      </c>
      <c r="K45" s="4" t="str">
        <f t="shared" si="2"/>
        <v>NO</v>
      </c>
      <c r="L45" s="2">
        <f t="shared" si="3"/>
        <v>462</v>
      </c>
      <c r="M45" s="70" t="str">
        <f t="shared" si="0"/>
        <v>NO</v>
      </c>
      <c r="N45" s="2">
        <f t="shared" si="1"/>
        <v>485</v>
      </c>
      <c r="O45" s="4" t="s">
        <v>883</v>
      </c>
      <c r="P45" s="2">
        <v>298661</v>
      </c>
      <c r="Q45" s="79" t="s">
        <v>820</v>
      </c>
      <c r="R45" s="2">
        <v>7110</v>
      </c>
      <c r="S45" s="4" t="b">
        <v>0</v>
      </c>
      <c r="T45" s="2">
        <v>2435</v>
      </c>
      <c r="U45" s="4" t="s">
        <v>833</v>
      </c>
      <c r="V45" s="2">
        <v>1201093</v>
      </c>
      <c r="W45" s="4" t="s">
        <v>823</v>
      </c>
      <c r="X45" s="2">
        <v>403</v>
      </c>
      <c r="Y45" s="4" t="s">
        <v>820</v>
      </c>
      <c r="Z45" s="2">
        <v>983</v>
      </c>
    </row>
    <row r="46" spans="1:28" x14ac:dyDescent="0.2">
      <c r="A46" s="103"/>
      <c r="B46" s="27" t="s">
        <v>51</v>
      </c>
      <c r="C46" s="70" t="s">
        <v>818</v>
      </c>
      <c r="D46" s="2">
        <v>3269</v>
      </c>
      <c r="E46" s="4" t="s">
        <v>818</v>
      </c>
      <c r="F46" s="2">
        <v>895</v>
      </c>
      <c r="G46" s="4" t="s">
        <v>818</v>
      </c>
      <c r="H46" s="2">
        <v>684</v>
      </c>
      <c r="I46" s="4" t="b">
        <v>1</v>
      </c>
      <c r="J46" s="2">
        <v>4259</v>
      </c>
      <c r="K46" s="4" t="str">
        <f t="shared" si="2"/>
        <v>YES</v>
      </c>
      <c r="L46" s="2">
        <f t="shared" si="3"/>
        <v>895</v>
      </c>
      <c r="M46" s="70" t="str">
        <f t="shared" si="0"/>
        <v>YES</v>
      </c>
      <c r="N46" s="2">
        <f t="shared" si="1"/>
        <v>3269</v>
      </c>
      <c r="O46" s="4" t="b">
        <v>1</v>
      </c>
      <c r="P46" s="2">
        <v>178265</v>
      </c>
      <c r="Q46" s="4" t="s">
        <v>818</v>
      </c>
      <c r="R46" s="2">
        <v>4927</v>
      </c>
      <c r="S46" s="4" t="b">
        <v>1</v>
      </c>
      <c r="T46" s="2">
        <v>4939</v>
      </c>
      <c r="U46" s="4" t="s">
        <v>838</v>
      </c>
      <c r="V46" s="2">
        <v>3947</v>
      </c>
      <c r="W46" s="4" t="s">
        <v>823</v>
      </c>
      <c r="X46" s="2">
        <v>377</v>
      </c>
      <c r="Y46" s="4" t="s">
        <v>818</v>
      </c>
      <c r="Z46" s="2">
        <v>2697</v>
      </c>
    </row>
    <row r="47" spans="1:28" x14ac:dyDescent="0.2">
      <c r="A47" s="103"/>
      <c r="B47" s="27" t="s">
        <v>52</v>
      </c>
      <c r="C47" s="70" t="s">
        <v>820</v>
      </c>
      <c r="D47" s="2">
        <v>559</v>
      </c>
      <c r="E47" s="4" t="s">
        <v>820</v>
      </c>
      <c r="F47" s="2">
        <v>2496</v>
      </c>
      <c r="G47" s="4" t="s">
        <v>820</v>
      </c>
      <c r="H47" s="2">
        <v>368</v>
      </c>
      <c r="I47" s="4" t="b">
        <v>1</v>
      </c>
      <c r="J47" s="2">
        <v>5023</v>
      </c>
      <c r="K47" s="4" t="str">
        <f t="shared" si="2"/>
        <v>NO</v>
      </c>
      <c r="L47" s="2">
        <f t="shared" si="3"/>
        <v>2496</v>
      </c>
      <c r="M47" s="70" t="str">
        <f t="shared" si="0"/>
        <v>NO</v>
      </c>
      <c r="N47" s="2">
        <f t="shared" si="1"/>
        <v>559</v>
      </c>
      <c r="O47" s="4" t="b">
        <v>0</v>
      </c>
      <c r="P47" s="2">
        <v>2045</v>
      </c>
      <c r="Q47" s="79" t="s">
        <v>820</v>
      </c>
      <c r="R47" s="2">
        <v>6766</v>
      </c>
      <c r="S47" s="4" t="b">
        <v>0</v>
      </c>
      <c r="T47" s="2">
        <v>5270</v>
      </c>
      <c r="U47" s="4" t="s">
        <v>833</v>
      </c>
      <c r="V47" s="2">
        <v>1201053</v>
      </c>
      <c r="W47" s="4" t="s">
        <v>823</v>
      </c>
      <c r="X47" s="2">
        <v>355</v>
      </c>
      <c r="Y47" s="4" t="s">
        <v>820</v>
      </c>
      <c r="Z47" s="2">
        <v>1071</v>
      </c>
    </row>
    <row r="48" spans="1:28" x14ac:dyDescent="0.2">
      <c r="A48" s="103"/>
      <c r="B48" s="27" t="s">
        <v>53</v>
      </c>
      <c r="C48" s="70" t="s">
        <v>818</v>
      </c>
      <c r="D48" s="2">
        <v>18471</v>
      </c>
      <c r="E48" s="4" t="s">
        <v>818</v>
      </c>
      <c r="F48" s="2">
        <v>3442</v>
      </c>
      <c r="G48" s="4" t="s">
        <v>818</v>
      </c>
      <c r="H48" s="2">
        <v>483</v>
      </c>
      <c r="I48" s="4" t="b">
        <v>1</v>
      </c>
      <c r="J48" s="2">
        <v>5465</v>
      </c>
      <c r="K48" s="4" t="str">
        <f t="shared" si="2"/>
        <v>YES</v>
      </c>
      <c r="L48" s="2">
        <f t="shared" si="3"/>
        <v>3442</v>
      </c>
      <c r="M48" s="70" t="str">
        <f t="shared" si="0"/>
        <v>YES</v>
      </c>
      <c r="N48" s="2">
        <f t="shared" si="1"/>
        <v>18471</v>
      </c>
      <c r="O48" s="4" t="b">
        <v>0</v>
      </c>
      <c r="P48" s="2">
        <v>2014</v>
      </c>
      <c r="Q48" s="4" t="s">
        <v>818</v>
      </c>
      <c r="R48" s="2">
        <v>6003</v>
      </c>
      <c r="S48" s="4" t="b">
        <v>1</v>
      </c>
      <c r="T48" s="2">
        <v>5202</v>
      </c>
      <c r="U48" s="4" t="b">
        <v>1</v>
      </c>
      <c r="V48" s="2">
        <v>8465</v>
      </c>
      <c r="W48" s="4" t="s">
        <v>823</v>
      </c>
      <c r="X48" s="2">
        <v>352</v>
      </c>
      <c r="Y48" s="4" t="s">
        <v>818</v>
      </c>
      <c r="Z48" s="2">
        <v>25811</v>
      </c>
    </row>
    <row r="49" spans="1:28" x14ac:dyDescent="0.2">
      <c r="A49" s="103"/>
      <c r="B49" s="28" t="s">
        <v>54</v>
      </c>
      <c r="C49" s="4" t="s">
        <v>837</v>
      </c>
      <c r="D49" s="2">
        <v>600631</v>
      </c>
      <c r="E49" s="4" t="s">
        <v>837</v>
      </c>
      <c r="F49" s="2">
        <v>301188</v>
      </c>
      <c r="G49" s="70" t="s">
        <v>820</v>
      </c>
      <c r="H49" s="2">
        <v>4581</v>
      </c>
      <c r="I49" s="4" t="s">
        <v>833</v>
      </c>
      <c r="J49" s="2">
        <v>31115</v>
      </c>
      <c r="K49" s="4" t="str">
        <f t="shared" si="2"/>
        <v>TIMEOUT</v>
      </c>
      <c r="L49" s="2">
        <f t="shared" si="3"/>
        <v>332303</v>
      </c>
      <c r="M49" s="4" t="str">
        <f t="shared" si="0"/>
        <v>TIMEOUT</v>
      </c>
      <c r="N49" s="2">
        <f t="shared" si="1"/>
        <v>932934</v>
      </c>
      <c r="O49" s="4" t="b">
        <v>0</v>
      </c>
      <c r="P49" s="2">
        <v>3369</v>
      </c>
      <c r="Q49" s="4" t="s">
        <v>819</v>
      </c>
      <c r="R49" s="2">
        <v>9911</v>
      </c>
      <c r="S49" s="4" t="s">
        <v>833</v>
      </c>
      <c r="T49" s="2">
        <v>27799</v>
      </c>
      <c r="U49" s="4" t="s">
        <v>833</v>
      </c>
      <c r="V49" s="2">
        <v>6825</v>
      </c>
      <c r="W49" s="4" t="s">
        <v>822</v>
      </c>
      <c r="X49" s="2">
        <v>272</v>
      </c>
      <c r="Y49" s="4" t="s">
        <v>820</v>
      </c>
      <c r="Z49" s="2">
        <v>5012</v>
      </c>
      <c r="AA49" s="4" t="s">
        <v>104</v>
      </c>
    </row>
    <row r="50" spans="1:28" x14ac:dyDescent="0.2">
      <c r="A50" s="103"/>
      <c r="B50" s="28" t="s">
        <v>55</v>
      </c>
      <c r="C50" s="4" t="s">
        <v>837</v>
      </c>
      <c r="D50" s="2">
        <v>600606</v>
      </c>
      <c r="E50" s="4" t="s">
        <v>837</v>
      </c>
      <c r="F50" s="2">
        <v>301191</v>
      </c>
      <c r="G50" s="4" t="s">
        <v>837</v>
      </c>
      <c r="H50" s="2">
        <v>270285</v>
      </c>
      <c r="I50" s="4" t="s">
        <v>833</v>
      </c>
      <c r="J50" s="2">
        <v>31361</v>
      </c>
      <c r="K50" s="4" t="str">
        <f t="shared" si="2"/>
        <v>TIMEOUT</v>
      </c>
      <c r="L50" s="2">
        <f t="shared" si="3"/>
        <v>332552</v>
      </c>
      <c r="M50" s="4" t="str">
        <f t="shared" si="0"/>
        <v>TIMEOUT</v>
      </c>
      <c r="N50" s="2">
        <f t="shared" si="1"/>
        <v>933158</v>
      </c>
      <c r="O50" s="4" t="b">
        <v>0</v>
      </c>
      <c r="P50" s="2">
        <v>3336</v>
      </c>
      <c r="Q50" s="4" t="s">
        <v>819</v>
      </c>
      <c r="R50" s="2">
        <v>10342</v>
      </c>
      <c r="S50" s="4" t="b">
        <v>1</v>
      </c>
      <c r="T50" s="2">
        <v>4297</v>
      </c>
      <c r="U50" s="4" t="s">
        <v>833</v>
      </c>
      <c r="V50" s="2">
        <v>6814</v>
      </c>
      <c r="W50" s="4" t="s">
        <v>822</v>
      </c>
      <c r="X50" s="2">
        <v>285</v>
      </c>
      <c r="Y50" s="4" t="s">
        <v>820</v>
      </c>
      <c r="Z50" s="2">
        <v>2722</v>
      </c>
      <c r="AA50" s="4" t="s">
        <v>104</v>
      </c>
    </row>
    <row r="51" spans="1:28" x14ac:dyDescent="0.2">
      <c r="A51" s="103"/>
      <c r="B51" s="27" t="s">
        <v>56</v>
      </c>
      <c r="C51" s="70" t="s">
        <v>820</v>
      </c>
      <c r="D51" s="2">
        <v>716</v>
      </c>
      <c r="E51" s="4" t="s">
        <v>837</v>
      </c>
      <c r="F51" s="2">
        <v>300517</v>
      </c>
      <c r="G51" s="4" t="s">
        <v>820</v>
      </c>
      <c r="H51" s="2">
        <v>513</v>
      </c>
      <c r="I51" s="4" t="b">
        <v>0</v>
      </c>
      <c r="J51" s="2">
        <v>4605</v>
      </c>
      <c r="K51" s="4" t="str">
        <f t="shared" si="2"/>
        <v>NO</v>
      </c>
      <c r="L51" s="2">
        <f t="shared" si="3"/>
        <v>305635</v>
      </c>
      <c r="M51" s="70" t="str">
        <f t="shared" si="0"/>
        <v>NO</v>
      </c>
      <c r="N51" s="2">
        <f t="shared" si="1"/>
        <v>716</v>
      </c>
      <c r="O51" s="4" t="s">
        <v>883</v>
      </c>
      <c r="P51" s="2">
        <v>301919</v>
      </c>
      <c r="Q51" s="79" t="s">
        <v>820</v>
      </c>
      <c r="R51" s="2">
        <v>10005</v>
      </c>
      <c r="S51" s="4" t="b">
        <v>0</v>
      </c>
      <c r="T51" s="2">
        <v>2702</v>
      </c>
      <c r="U51" s="4" t="s">
        <v>833</v>
      </c>
      <c r="V51" s="2">
        <v>9665</v>
      </c>
      <c r="W51" s="4" t="s">
        <v>823</v>
      </c>
      <c r="X51" s="2">
        <v>698</v>
      </c>
      <c r="Y51" s="4" t="s">
        <v>820</v>
      </c>
      <c r="Z51" s="2">
        <v>1425</v>
      </c>
      <c r="AB51" s="85"/>
    </row>
    <row r="52" spans="1:28" x14ac:dyDescent="0.2">
      <c r="A52" s="103"/>
      <c r="B52" s="27" t="s">
        <v>57</v>
      </c>
      <c r="C52" s="70" t="s">
        <v>818</v>
      </c>
      <c r="D52" s="2">
        <v>67008</v>
      </c>
      <c r="E52" s="4" t="s">
        <v>818</v>
      </c>
      <c r="F52" s="2">
        <v>32235</v>
      </c>
      <c r="G52" s="4" t="s">
        <v>818</v>
      </c>
      <c r="H52" s="2">
        <v>1903</v>
      </c>
      <c r="I52" s="4" t="b">
        <v>0</v>
      </c>
      <c r="J52" s="2">
        <v>4671</v>
      </c>
      <c r="K52" s="4" t="str">
        <f t="shared" si="2"/>
        <v>YES</v>
      </c>
      <c r="L52" s="2">
        <f t="shared" si="3"/>
        <v>32235</v>
      </c>
      <c r="M52" s="70" t="str">
        <f t="shared" si="0"/>
        <v>YES</v>
      </c>
      <c r="N52" s="2">
        <f t="shared" si="1"/>
        <v>67008</v>
      </c>
      <c r="O52" s="4" t="b">
        <v>1</v>
      </c>
      <c r="P52" s="2">
        <v>182903</v>
      </c>
      <c r="Q52" s="4" t="s">
        <v>818</v>
      </c>
      <c r="R52" s="2">
        <v>10792</v>
      </c>
      <c r="S52" s="4" t="b">
        <v>1</v>
      </c>
      <c r="T52" s="2">
        <v>3767</v>
      </c>
      <c r="U52" s="4" t="b">
        <v>1</v>
      </c>
      <c r="V52" s="2">
        <v>8757</v>
      </c>
      <c r="W52" s="4" t="s">
        <v>876</v>
      </c>
      <c r="X52" s="2">
        <v>459</v>
      </c>
      <c r="Y52" s="4" t="s">
        <v>818</v>
      </c>
      <c r="Z52" s="2">
        <v>15972</v>
      </c>
      <c r="AB52" s="85"/>
    </row>
    <row r="53" spans="1:28" x14ac:dyDescent="0.2">
      <c r="A53" s="103"/>
      <c r="B53" s="27" t="s">
        <v>58</v>
      </c>
      <c r="C53" s="70" t="s">
        <v>820</v>
      </c>
      <c r="D53" s="2">
        <v>1858</v>
      </c>
      <c r="E53" s="4" t="s">
        <v>820</v>
      </c>
      <c r="F53" s="2">
        <v>9884</v>
      </c>
      <c r="G53" s="4" t="s">
        <v>820</v>
      </c>
      <c r="H53" s="2">
        <v>385</v>
      </c>
      <c r="I53" s="4" t="b">
        <v>1</v>
      </c>
      <c r="J53" s="2">
        <v>4536</v>
      </c>
      <c r="K53" s="4" t="str">
        <f t="shared" si="2"/>
        <v>NO</v>
      </c>
      <c r="L53" s="2">
        <f t="shared" si="3"/>
        <v>9884</v>
      </c>
      <c r="M53" s="70" t="str">
        <f t="shared" si="0"/>
        <v>NO</v>
      </c>
      <c r="N53" s="2">
        <f t="shared" si="1"/>
        <v>1858</v>
      </c>
      <c r="O53" s="4" t="b">
        <v>0</v>
      </c>
      <c r="P53" s="2">
        <v>2284</v>
      </c>
      <c r="Q53" s="4" t="s">
        <v>819</v>
      </c>
      <c r="R53" s="2">
        <v>73484</v>
      </c>
      <c r="S53" s="4" t="b">
        <v>0</v>
      </c>
      <c r="T53" s="2">
        <v>3872</v>
      </c>
      <c r="U53" s="4" t="s">
        <v>838</v>
      </c>
      <c r="V53" s="2">
        <v>5048</v>
      </c>
      <c r="W53" s="4" t="s">
        <v>823</v>
      </c>
      <c r="X53" s="2">
        <v>391</v>
      </c>
      <c r="Y53" s="4" t="s">
        <v>820</v>
      </c>
      <c r="Z53" s="2">
        <v>1162</v>
      </c>
      <c r="AA53" s="4" t="s">
        <v>98</v>
      </c>
    </row>
    <row r="54" spans="1:28" x14ac:dyDescent="0.2">
      <c r="A54" s="103"/>
      <c r="B54" s="27" t="s">
        <v>59</v>
      </c>
      <c r="C54" s="70" t="s">
        <v>818</v>
      </c>
      <c r="D54" s="2">
        <v>794</v>
      </c>
      <c r="E54" s="4" t="s">
        <v>818</v>
      </c>
      <c r="F54" s="2">
        <v>5077</v>
      </c>
      <c r="G54" s="4" t="s">
        <v>818</v>
      </c>
      <c r="H54" s="2">
        <v>517</v>
      </c>
      <c r="I54" s="4" t="b">
        <v>1</v>
      </c>
      <c r="J54" s="2">
        <v>4478</v>
      </c>
      <c r="K54" s="4" t="str">
        <f t="shared" si="2"/>
        <v>YES</v>
      </c>
      <c r="L54" s="2">
        <f t="shared" si="3"/>
        <v>5077</v>
      </c>
      <c r="M54" s="70" t="str">
        <f t="shared" si="0"/>
        <v>YES</v>
      </c>
      <c r="N54" s="2">
        <f t="shared" si="1"/>
        <v>794</v>
      </c>
      <c r="O54" s="4" t="b">
        <v>1</v>
      </c>
      <c r="P54" s="2">
        <v>181992</v>
      </c>
      <c r="Q54" s="4" t="s">
        <v>818</v>
      </c>
      <c r="R54" s="2">
        <v>10728</v>
      </c>
      <c r="S54" s="4" t="b">
        <v>1</v>
      </c>
      <c r="T54" s="2">
        <v>3715</v>
      </c>
      <c r="U54" s="4" t="s">
        <v>838</v>
      </c>
      <c r="V54" s="2">
        <v>5005</v>
      </c>
      <c r="W54" s="4" t="s">
        <v>876</v>
      </c>
      <c r="X54" s="2">
        <v>412</v>
      </c>
      <c r="Y54" s="4" t="s">
        <v>818</v>
      </c>
      <c r="Z54" s="2">
        <v>2103</v>
      </c>
      <c r="AA54" s="4" t="s">
        <v>98</v>
      </c>
    </row>
    <row r="55" spans="1:28" x14ac:dyDescent="0.2">
      <c r="A55" s="103"/>
      <c r="B55" s="27" t="s">
        <v>62</v>
      </c>
      <c r="C55" s="70" t="s">
        <v>820</v>
      </c>
      <c r="D55" s="2">
        <v>425</v>
      </c>
      <c r="E55" s="4" t="s">
        <v>820</v>
      </c>
      <c r="F55" s="2">
        <v>4604</v>
      </c>
      <c r="G55" s="71" t="s">
        <v>818</v>
      </c>
      <c r="H55" s="2">
        <v>1208</v>
      </c>
      <c r="I55" s="4" t="s">
        <v>833</v>
      </c>
      <c r="J55" s="2">
        <v>31336</v>
      </c>
      <c r="K55" s="4" t="str">
        <f t="shared" si="2"/>
        <v>NO</v>
      </c>
      <c r="L55" s="2">
        <f t="shared" si="3"/>
        <v>4604</v>
      </c>
      <c r="M55" s="70" t="str">
        <f t="shared" si="0"/>
        <v>NO</v>
      </c>
      <c r="N55" s="2">
        <f t="shared" si="1"/>
        <v>425</v>
      </c>
      <c r="O55" s="4" t="b">
        <v>1</v>
      </c>
      <c r="P55" s="2">
        <v>181698</v>
      </c>
      <c r="Q55" s="4" t="s">
        <v>819</v>
      </c>
      <c r="R55" s="2">
        <v>4262</v>
      </c>
      <c r="S55" s="4" t="s">
        <v>837</v>
      </c>
      <c r="T55" s="2">
        <v>1200268</v>
      </c>
      <c r="U55" s="4" t="s">
        <v>837</v>
      </c>
      <c r="V55" s="2">
        <v>1211742</v>
      </c>
      <c r="W55" s="4" t="s">
        <v>877</v>
      </c>
      <c r="X55" s="2">
        <v>321</v>
      </c>
      <c r="Y55" s="4" t="s">
        <v>837</v>
      </c>
      <c r="Z55" s="2">
        <v>1210035</v>
      </c>
      <c r="AA55" s="4" t="s">
        <v>840</v>
      </c>
    </row>
    <row r="56" spans="1:28" x14ac:dyDescent="0.2">
      <c r="A56" s="103"/>
      <c r="B56" s="27" t="s">
        <v>63</v>
      </c>
      <c r="C56" s="70" t="s">
        <v>818</v>
      </c>
      <c r="D56" s="2">
        <v>29307</v>
      </c>
      <c r="E56" s="4" t="s">
        <v>818</v>
      </c>
      <c r="F56" s="2">
        <v>6637</v>
      </c>
      <c r="G56" s="4" t="s">
        <v>818</v>
      </c>
      <c r="H56" s="2">
        <v>911</v>
      </c>
      <c r="I56" s="4" t="s">
        <v>833</v>
      </c>
      <c r="J56" s="2">
        <v>31212</v>
      </c>
      <c r="K56" s="4" t="str">
        <f t="shared" si="2"/>
        <v>YES</v>
      </c>
      <c r="L56" s="2">
        <f t="shared" si="3"/>
        <v>6637</v>
      </c>
      <c r="M56" s="70" t="str">
        <f t="shared" si="0"/>
        <v>YES</v>
      </c>
      <c r="N56" s="2">
        <f t="shared" si="1"/>
        <v>29307</v>
      </c>
      <c r="O56" s="4" t="b">
        <v>1</v>
      </c>
      <c r="P56" s="2">
        <v>64891</v>
      </c>
      <c r="Q56" s="4" t="s">
        <v>818</v>
      </c>
      <c r="R56" s="2">
        <v>9562</v>
      </c>
      <c r="S56" s="4" t="s">
        <v>837</v>
      </c>
      <c r="T56" s="2">
        <v>1200308</v>
      </c>
      <c r="U56" s="4" t="s">
        <v>837</v>
      </c>
      <c r="V56" s="2">
        <v>1211814</v>
      </c>
      <c r="W56" s="4" t="s">
        <v>876</v>
      </c>
      <c r="X56" s="2">
        <v>407</v>
      </c>
      <c r="Y56" s="4" t="s">
        <v>818</v>
      </c>
      <c r="Z56" s="2">
        <v>514596</v>
      </c>
      <c r="AA56" s="4" t="s">
        <v>840</v>
      </c>
    </row>
    <row r="57" spans="1:28" x14ac:dyDescent="0.2">
      <c r="A57" s="103"/>
      <c r="B57" s="27" t="s">
        <v>64</v>
      </c>
      <c r="C57" s="70" t="s">
        <v>820</v>
      </c>
      <c r="D57" s="2">
        <v>729</v>
      </c>
      <c r="E57" s="4" t="s">
        <v>837</v>
      </c>
      <c r="F57" s="2">
        <v>300852</v>
      </c>
      <c r="G57" s="71" t="s">
        <v>818</v>
      </c>
      <c r="H57" s="2">
        <v>380</v>
      </c>
      <c r="I57" s="4" t="b">
        <v>1</v>
      </c>
      <c r="J57" s="2">
        <v>4461</v>
      </c>
      <c r="K57" s="4" t="str">
        <f t="shared" si="2"/>
        <v>TIMEOUT</v>
      </c>
      <c r="L57" s="2">
        <f t="shared" si="3"/>
        <v>305313</v>
      </c>
      <c r="M57" s="70" t="str">
        <f t="shared" si="0"/>
        <v>NO</v>
      </c>
      <c r="N57" s="2">
        <f t="shared" si="1"/>
        <v>729</v>
      </c>
      <c r="O57" s="4" t="b">
        <v>1</v>
      </c>
      <c r="P57" s="2">
        <v>31410</v>
      </c>
      <c r="Q57" s="4" t="s">
        <v>818</v>
      </c>
      <c r="R57" s="2">
        <v>5257</v>
      </c>
      <c r="S57" s="4" t="s">
        <v>833</v>
      </c>
      <c r="T57" s="2">
        <v>10035</v>
      </c>
      <c r="U57" s="4" t="s">
        <v>833</v>
      </c>
      <c r="V57" s="2">
        <v>1202217</v>
      </c>
      <c r="W57" s="4" t="s">
        <v>823</v>
      </c>
      <c r="X57" s="2">
        <v>427</v>
      </c>
      <c r="Y57" s="4" t="s">
        <v>820</v>
      </c>
      <c r="Z57" s="2">
        <v>1009</v>
      </c>
      <c r="AA57" s="4" t="s">
        <v>840</v>
      </c>
    </row>
    <row r="58" spans="1:28" x14ac:dyDescent="0.2">
      <c r="A58" s="103"/>
      <c r="B58" s="27" t="s">
        <v>65</v>
      </c>
      <c r="C58" s="70" t="s">
        <v>818</v>
      </c>
      <c r="D58" s="2">
        <v>514</v>
      </c>
      <c r="E58" s="4" t="s">
        <v>818</v>
      </c>
      <c r="F58" s="2">
        <v>1492</v>
      </c>
      <c r="G58" s="4" t="s">
        <v>818</v>
      </c>
      <c r="H58" s="2">
        <v>351</v>
      </c>
      <c r="I58" s="4" t="b">
        <v>1</v>
      </c>
      <c r="J58" s="2">
        <v>4449</v>
      </c>
      <c r="K58" s="4" t="str">
        <f t="shared" si="2"/>
        <v>YES</v>
      </c>
      <c r="L58" s="2">
        <f t="shared" si="3"/>
        <v>1492</v>
      </c>
      <c r="M58" s="70" t="str">
        <f t="shared" si="0"/>
        <v>YES</v>
      </c>
      <c r="N58" s="2">
        <f t="shared" si="1"/>
        <v>514</v>
      </c>
      <c r="O58" s="4" t="b">
        <v>1</v>
      </c>
      <c r="P58" s="2">
        <v>31545</v>
      </c>
      <c r="Q58" s="4" t="s">
        <v>818</v>
      </c>
      <c r="R58" s="2">
        <v>5332</v>
      </c>
      <c r="S58" s="4" t="b">
        <v>1</v>
      </c>
      <c r="T58" s="2">
        <v>2884</v>
      </c>
      <c r="U58" s="4" t="s">
        <v>833</v>
      </c>
      <c r="V58" s="2">
        <v>1202164</v>
      </c>
      <c r="W58" s="4" t="s">
        <v>876</v>
      </c>
      <c r="X58" s="2">
        <v>647</v>
      </c>
      <c r="Y58" s="4" t="s">
        <v>818</v>
      </c>
      <c r="Z58" s="2">
        <v>1487</v>
      </c>
      <c r="AA58" s="4" t="s">
        <v>840</v>
      </c>
      <c r="AB58" s="85"/>
    </row>
    <row r="59" spans="1:28" x14ac:dyDescent="0.2">
      <c r="A59" s="103"/>
      <c r="B59" s="27" t="s">
        <v>66</v>
      </c>
      <c r="C59" s="70" t="s">
        <v>820</v>
      </c>
      <c r="D59" s="2">
        <v>524</v>
      </c>
      <c r="E59" s="4" t="s">
        <v>820</v>
      </c>
      <c r="F59" s="2">
        <v>5593</v>
      </c>
      <c r="G59" s="4" t="s">
        <v>820</v>
      </c>
      <c r="H59" s="2">
        <v>355</v>
      </c>
      <c r="I59" s="4" t="b">
        <v>1</v>
      </c>
      <c r="J59" s="2">
        <v>4763</v>
      </c>
      <c r="K59" s="4" t="str">
        <f t="shared" si="2"/>
        <v>NO</v>
      </c>
      <c r="L59" s="2">
        <f t="shared" si="3"/>
        <v>5593</v>
      </c>
      <c r="M59" s="70" t="str">
        <f t="shared" si="0"/>
        <v>NO</v>
      </c>
      <c r="N59" s="2">
        <f t="shared" si="1"/>
        <v>524</v>
      </c>
      <c r="O59" s="4" t="b">
        <v>0</v>
      </c>
      <c r="P59" s="2">
        <v>2683</v>
      </c>
      <c r="Q59" s="79" t="s">
        <v>820</v>
      </c>
      <c r="R59" s="2">
        <v>8294</v>
      </c>
      <c r="S59" s="4" t="s">
        <v>837</v>
      </c>
      <c r="T59" s="2">
        <v>1200279</v>
      </c>
      <c r="U59" s="4" t="s">
        <v>833</v>
      </c>
      <c r="V59" s="2">
        <v>7500</v>
      </c>
      <c r="W59" s="4" t="s">
        <v>823</v>
      </c>
      <c r="X59" s="2">
        <v>379</v>
      </c>
      <c r="Y59" s="4" t="s">
        <v>820</v>
      </c>
      <c r="Z59" s="2">
        <v>1303</v>
      </c>
    </row>
    <row r="60" spans="1:28" x14ac:dyDescent="0.2">
      <c r="A60" s="103"/>
      <c r="B60" s="27" t="s">
        <v>67</v>
      </c>
      <c r="C60" s="70" t="s">
        <v>818</v>
      </c>
      <c r="D60" s="2">
        <v>88758</v>
      </c>
      <c r="E60" s="4" t="s">
        <v>818</v>
      </c>
      <c r="F60" s="2">
        <v>9765</v>
      </c>
      <c r="G60" s="4" t="s">
        <v>818</v>
      </c>
      <c r="H60" s="2">
        <v>1298</v>
      </c>
      <c r="I60" s="4" t="b">
        <v>1</v>
      </c>
      <c r="J60" s="2">
        <v>4833</v>
      </c>
      <c r="K60" s="4" t="str">
        <f t="shared" si="2"/>
        <v>YES</v>
      </c>
      <c r="L60" s="2">
        <f t="shared" si="3"/>
        <v>9765</v>
      </c>
      <c r="M60" s="70" t="str">
        <f t="shared" si="0"/>
        <v>YES</v>
      </c>
      <c r="N60" s="2">
        <f t="shared" si="1"/>
        <v>88758</v>
      </c>
      <c r="O60" s="4" t="b">
        <v>1</v>
      </c>
      <c r="P60" s="2">
        <v>182291</v>
      </c>
      <c r="Q60" s="4" t="s">
        <v>818</v>
      </c>
      <c r="R60" s="2">
        <v>9316</v>
      </c>
      <c r="S60" s="4" t="b">
        <v>1</v>
      </c>
      <c r="T60" s="2">
        <v>3532</v>
      </c>
      <c r="U60" s="4" t="b">
        <v>1</v>
      </c>
      <c r="V60" s="2">
        <v>7067</v>
      </c>
      <c r="W60" s="4" t="s">
        <v>876</v>
      </c>
      <c r="X60" s="2">
        <v>377</v>
      </c>
      <c r="Y60" s="4" t="s">
        <v>818</v>
      </c>
      <c r="Z60" s="2">
        <v>79897</v>
      </c>
    </row>
    <row r="61" spans="1:28" x14ac:dyDescent="0.2">
      <c r="A61" s="103"/>
      <c r="B61" s="27" t="s">
        <v>68</v>
      </c>
      <c r="C61" s="70" t="s">
        <v>820</v>
      </c>
      <c r="D61" s="2">
        <v>744</v>
      </c>
      <c r="E61" s="4" t="s">
        <v>820</v>
      </c>
      <c r="F61" s="2">
        <v>23308</v>
      </c>
      <c r="G61" s="4" t="s">
        <v>820</v>
      </c>
      <c r="H61" s="2">
        <v>3027</v>
      </c>
      <c r="I61" s="4" t="b">
        <v>1</v>
      </c>
      <c r="J61" s="2">
        <v>4578</v>
      </c>
      <c r="K61" s="4" t="str">
        <f t="shared" si="2"/>
        <v>NO</v>
      </c>
      <c r="L61" s="2">
        <f t="shared" si="3"/>
        <v>23308</v>
      </c>
      <c r="M61" s="70" t="str">
        <f t="shared" si="0"/>
        <v>NO</v>
      </c>
      <c r="N61" s="2">
        <f t="shared" si="1"/>
        <v>744</v>
      </c>
      <c r="O61" s="4" t="b">
        <v>0</v>
      </c>
      <c r="P61" s="2">
        <v>3309</v>
      </c>
      <c r="Q61" s="4" t="s">
        <v>819</v>
      </c>
      <c r="R61" s="2">
        <v>6848</v>
      </c>
      <c r="S61" s="4" t="b">
        <v>0</v>
      </c>
      <c r="T61" s="2">
        <v>12358</v>
      </c>
      <c r="U61" s="4" t="s">
        <v>833</v>
      </c>
      <c r="V61" s="2">
        <v>7611</v>
      </c>
      <c r="W61" s="4" t="s">
        <v>823</v>
      </c>
      <c r="X61" s="2">
        <v>334</v>
      </c>
      <c r="Y61" s="4" t="s">
        <v>820</v>
      </c>
      <c r="Z61" s="2">
        <v>5045</v>
      </c>
    </row>
    <row r="62" spans="1:28" x14ac:dyDescent="0.2">
      <c r="A62" s="103"/>
      <c r="B62" s="27" t="s">
        <v>69</v>
      </c>
      <c r="C62" s="70" t="s">
        <v>818</v>
      </c>
      <c r="D62" s="2">
        <v>13788</v>
      </c>
      <c r="E62" s="4" t="s">
        <v>818</v>
      </c>
      <c r="F62" s="2">
        <v>6534</v>
      </c>
      <c r="G62" s="4" t="s">
        <v>818</v>
      </c>
      <c r="H62" s="2">
        <v>783</v>
      </c>
      <c r="I62" s="4" t="b">
        <v>1</v>
      </c>
      <c r="J62" s="2">
        <v>5033</v>
      </c>
      <c r="K62" s="4" t="str">
        <f t="shared" si="2"/>
        <v>YES</v>
      </c>
      <c r="L62" s="2">
        <f t="shared" si="3"/>
        <v>6534</v>
      </c>
      <c r="M62" s="70" t="str">
        <f t="shared" si="0"/>
        <v>YES</v>
      </c>
      <c r="N62" s="2">
        <f t="shared" si="1"/>
        <v>13788</v>
      </c>
      <c r="O62" s="4" t="b">
        <v>1</v>
      </c>
      <c r="P62" s="2">
        <v>182704</v>
      </c>
      <c r="Q62" s="4" t="s">
        <v>818</v>
      </c>
      <c r="R62" s="2">
        <v>7415</v>
      </c>
      <c r="S62" s="4" t="b">
        <v>1</v>
      </c>
      <c r="T62" s="2">
        <v>3465</v>
      </c>
      <c r="U62" s="4" t="b">
        <v>1</v>
      </c>
      <c r="V62" s="2">
        <v>7059</v>
      </c>
      <c r="W62" s="4" t="s">
        <v>876</v>
      </c>
      <c r="X62" s="2">
        <v>325</v>
      </c>
      <c r="Y62" s="4" t="s">
        <v>818</v>
      </c>
      <c r="Z62" s="2">
        <v>4857</v>
      </c>
    </row>
    <row r="63" spans="1:28" x14ac:dyDescent="0.2">
      <c r="A63" s="103"/>
      <c r="B63" s="27" t="s">
        <v>844</v>
      </c>
      <c r="C63" s="70" t="s">
        <v>818</v>
      </c>
      <c r="D63" s="2">
        <v>935</v>
      </c>
      <c r="E63" s="4" t="s">
        <v>838</v>
      </c>
      <c r="F63" s="2">
        <v>400</v>
      </c>
      <c r="G63" s="4" t="s">
        <v>838</v>
      </c>
      <c r="H63" s="2">
        <v>263</v>
      </c>
      <c r="I63" s="4" t="b">
        <v>1</v>
      </c>
      <c r="J63" s="2">
        <v>4233</v>
      </c>
      <c r="K63" s="4" t="str">
        <f t="shared" si="2"/>
        <v>ERROR</v>
      </c>
      <c r="L63" s="2">
        <f t="shared" si="3"/>
        <v>4633</v>
      </c>
      <c r="M63" s="70" t="str">
        <f t="shared" si="0"/>
        <v>YES</v>
      </c>
      <c r="N63" s="2">
        <f t="shared" si="1"/>
        <v>935</v>
      </c>
      <c r="O63" s="4" t="b">
        <v>1</v>
      </c>
      <c r="P63" s="2">
        <v>7522</v>
      </c>
      <c r="Q63" s="4" t="s">
        <v>837</v>
      </c>
      <c r="R63" s="2">
        <v>1200133</v>
      </c>
      <c r="S63" s="4" t="b">
        <v>1</v>
      </c>
      <c r="T63" s="2">
        <v>3134</v>
      </c>
      <c r="U63" s="4" t="s">
        <v>833</v>
      </c>
      <c r="V63" s="2">
        <v>1201096</v>
      </c>
      <c r="W63" s="4" t="s">
        <v>823</v>
      </c>
      <c r="X63" s="2">
        <v>340</v>
      </c>
      <c r="Y63" s="4" t="s">
        <v>820</v>
      </c>
      <c r="Z63" s="2">
        <v>929</v>
      </c>
      <c r="AA63" s="4" t="s">
        <v>841</v>
      </c>
      <c r="AB63" s="87" t="s">
        <v>887</v>
      </c>
    </row>
    <row r="64" spans="1:28" x14ac:dyDescent="0.2">
      <c r="A64" s="103"/>
      <c r="B64" s="27" t="s">
        <v>70</v>
      </c>
      <c r="C64" s="70" t="s">
        <v>818</v>
      </c>
      <c r="D64" s="2">
        <v>823</v>
      </c>
      <c r="E64" s="4" t="s">
        <v>838</v>
      </c>
      <c r="F64" s="2">
        <v>312</v>
      </c>
      <c r="G64" s="4" t="s">
        <v>838</v>
      </c>
      <c r="H64" s="2">
        <v>261</v>
      </c>
      <c r="I64" s="4" t="b">
        <v>1</v>
      </c>
      <c r="J64" s="2">
        <v>4382</v>
      </c>
      <c r="K64" s="4" t="str">
        <f t="shared" si="2"/>
        <v>ERROR</v>
      </c>
      <c r="L64" s="2">
        <f t="shared" si="3"/>
        <v>4694</v>
      </c>
      <c r="M64" s="70" t="str">
        <f t="shared" si="0"/>
        <v>YES</v>
      </c>
      <c r="N64" s="2">
        <f t="shared" si="1"/>
        <v>823</v>
      </c>
      <c r="O64" s="4" t="b">
        <v>1</v>
      </c>
      <c r="P64" s="2">
        <v>7413</v>
      </c>
      <c r="Q64" s="4" t="s">
        <v>837</v>
      </c>
      <c r="R64" s="2">
        <v>1200136</v>
      </c>
      <c r="S64" s="4" t="b">
        <v>1</v>
      </c>
      <c r="T64" s="2">
        <v>3248</v>
      </c>
      <c r="U64" s="4" t="s">
        <v>833</v>
      </c>
      <c r="V64" s="2">
        <v>1201083</v>
      </c>
      <c r="W64" s="4" t="s">
        <v>823</v>
      </c>
      <c r="X64" s="2">
        <v>408</v>
      </c>
      <c r="Y64" s="4" t="s">
        <v>820</v>
      </c>
      <c r="Z64" s="2">
        <v>1143</v>
      </c>
      <c r="AA64" s="4" t="s">
        <v>841</v>
      </c>
      <c r="AB64" s="87" t="s">
        <v>887</v>
      </c>
    </row>
    <row r="65" spans="1:28" x14ac:dyDescent="0.2">
      <c r="A65" s="103"/>
      <c r="B65" s="27" t="s">
        <v>71</v>
      </c>
      <c r="C65" s="70" t="s">
        <v>820</v>
      </c>
      <c r="D65" s="2">
        <v>6365</v>
      </c>
      <c r="E65" s="4" t="s">
        <v>838</v>
      </c>
      <c r="F65" s="2">
        <v>314</v>
      </c>
      <c r="G65" s="4" t="s">
        <v>838</v>
      </c>
      <c r="H65" s="2">
        <v>280</v>
      </c>
      <c r="I65" s="4" t="b">
        <v>0</v>
      </c>
      <c r="J65" s="2">
        <v>9791</v>
      </c>
      <c r="K65" s="4" t="str">
        <f t="shared" si="2"/>
        <v>ERROR</v>
      </c>
      <c r="L65" s="2">
        <f t="shared" si="3"/>
        <v>10385</v>
      </c>
      <c r="M65" s="70" t="str">
        <f t="shared" si="0"/>
        <v>NO</v>
      </c>
      <c r="N65" s="2">
        <f t="shared" si="1"/>
        <v>6365</v>
      </c>
      <c r="O65" s="4" t="b">
        <v>0</v>
      </c>
      <c r="P65" s="2">
        <v>5994</v>
      </c>
      <c r="Q65" s="4" t="s">
        <v>819</v>
      </c>
      <c r="R65" s="2">
        <v>2530</v>
      </c>
      <c r="S65" s="4" t="b">
        <v>1</v>
      </c>
      <c r="T65" s="2">
        <v>2772</v>
      </c>
      <c r="U65" s="4" t="s">
        <v>833</v>
      </c>
      <c r="V65" s="2">
        <v>1201045</v>
      </c>
      <c r="W65" s="4" t="s">
        <v>823</v>
      </c>
      <c r="X65" s="2">
        <v>309</v>
      </c>
      <c r="Y65" s="4" t="s">
        <v>820</v>
      </c>
      <c r="Z65" s="2">
        <v>904</v>
      </c>
      <c r="AA65" s="4" t="s">
        <v>841</v>
      </c>
      <c r="AB65" s="87" t="s">
        <v>887</v>
      </c>
    </row>
    <row r="66" spans="1:28" x14ac:dyDescent="0.2">
      <c r="A66" s="103"/>
      <c r="B66" s="27" t="s">
        <v>72</v>
      </c>
      <c r="C66" s="4" t="s">
        <v>837</v>
      </c>
      <c r="D66" s="2">
        <v>600406</v>
      </c>
      <c r="E66" s="4" t="s">
        <v>838</v>
      </c>
      <c r="F66" s="2">
        <v>365</v>
      </c>
      <c r="G66" s="4" t="s">
        <v>838</v>
      </c>
      <c r="H66" s="2">
        <v>253</v>
      </c>
      <c r="I66" s="4" t="b">
        <v>0</v>
      </c>
      <c r="J66" s="2">
        <v>9904</v>
      </c>
      <c r="K66" s="4" t="str">
        <f t="shared" si="2"/>
        <v>ERROR</v>
      </c>
      <c r="L66" s="2">
        <f t="shared" si="3"/>
        <v>10522</v>
      </c>
      <c r="M66" s="4" t="str">
        <f t="shared" si="0"/>
        <v>TIMEOUT</v>
      </c>
      <c r="N66" s="2">
        <f t="shared" si="1"/>
        <v>610928</v>
      </c>
      <c r="O66" s="4" t="b">
        <v>1</v>
      </c>
      <c r="P66" s="2">
        <v>8322</v>
      </c>
      <c r="Q66" s="4" t="s">
        <v>819</v>
      </c>
      <c r="R66" s="2">
        <v>2720</v>
      </c>
      <c r="S66" s="4" t="b">
        <v>1</v>
      </c>
      <c r="T66" s="2">
        <v>2874</v>
      </c>
      <c r="U66" s="4" t="s">
        <v>833</v>
      </c>
      <c r="V66" s="2">
        <v>1201123</v>
      </c>
      <c r="W66" s="4" t="s">
        <v>823</v>
      </c>
      <c r="X66" s="2">
        <v>309</v>
      </c>
      <c r="Y66" s="4" t="s">
        <v>820</v>
      </c>
      <c r="Z66" s="2">
        <v>842</v>
      </c>
      <c r="AA66" s="4" t="s">
        <v>841</v>
      </c>
      <c r="AB66" s="87" t="s">
        <v>887</v>
      </c>
    </row>
    <row r="67" spans="1:28" x14ac:dyDescent="0.2">
      <c r="A67" s="103"/>
      <c r="B67" s="27" t="s">
        <v>73</v>
      </c>
      <c r="C67" s="70" t="s">
        <v>820</v>
      </c>
      <c r="D67" s="2">
        <v>7507</v>
      </c>
      <c r="E67" s="4" t="s">
        <v>837</v>
      </c>
      <c r="F67" s="2">
        <v>300414</v>
      </c>
      <c r="G67" s="71" t="s">
        <v>818</v>
      </c>
      <c r="H67" s="2">
        <v>579</v>
      </c>
      <c r="I67" s="4" t="b">
        <v>1</v>
      </c>
      <c r="J67" s="2">
        <v>14823</v>
      </c>
      <c r="K67" s="4" t="str">
        <f t="shared" ref="K67:K118" si="4">IF(OR(E67="NO", E67="YES"), E67, IF(I67=FALSE, G67, E67))</f>
        <v>TIMEOUT</v>
      </c>
      <c r="L67" s="2">
        <f t="shared" ref="L67:L118" si="5">IF(OR(E67="NO", E67="YES"), F67, IF(I67=FALSE, SUM(F67, J67, H67), SUM(F67, J67)))</f>
        <v>315237</v>
      </c>
      <c r="M67" s="70" t="str">
        <f t="shared" ref="M67:M118" si="6">IF(OR(C67="NO", C67="YES"), C67, IF(OR(K67="NO", K67="YES"), K67, C67))</f>
        <v>NO</v>
      </c>
      <c r="N67" s="2">
        <f t="shared" ref="N67:N118" si="7">IF(OR(C67="NO", C67="YES"), D67, IF(OR(K67="NO", K67="YES"), SUM(D67, L67), SUM(D67, L67)))</f>
        <v>7507</v>
      </c>
      <c r="O67" s="4" t="b">
        <v>1</v>
      </c>
      <c r="P67" s="2">
        <v>38165</v>
      </c>
      <c r="Q67" s="4" t="s">
        <v>818</v>
      </c>
      <c r="R67" s="2">
        <v>5331</v>
      </c>
      <c r="S67" s="4" t="b">
        <v>1</v>
      </c>
      <c r="T67" s="2">
        <v>3286</v>
      </c>
      <c r="U67" s="4" t="b">
        <v>1</v>
      </c>
      <c r="V67" s="2">
        <v>6189</v>
      </c>
      <c r="W67" s="4" t="s">
        <v>823</v>
      </c>
      <c r="X67" s="2">
        <v>566</v>
      </c>
      <c r="Y67" s="4" t="s">
        <v>818</v>
      </c>
      <c r="Z67" s="2">
        <v>1871</v>
      </c>
      <c r="AA67" s="4" t="s">
        <v>840</v>
      </c>
      <c r="AB67" s="87" t="s">
        <v>887</v>
      </c>
    </row>
    <row r="68" spans="1:28" x14ac:dyDescent="0.2">
      <c r="A68" s="103"/>
      <c r="B68" s="27" t="s">
        <v>74</v>
      </c>
      <c r="C68" s="70" t="s">
        <v>818</v>
      </c>
      <c r="D68" s="2">
        <v>588</v>
      </c>
      <c r="E68" s="4" t="s">
        <v>818</v>
      </c>
      <c r="F68" s="2">
        <v>2534</v>
      </c>
      <c r="G68" s="4" t="s">
        <v>818</v>
      </c>
      <c r="H68" s="2">
        <v>370</v>
      </c>
      <c r="I68" s="4" t="b">
        <v>1</v>
      </c>
      <c r="J68" s="2">
        <v>14212</v>
      </c>
      <c r="K68" s="4" t="str">
        <f t="shared" si="4"/>
        <v>YES</v>
      </c>
      <c r="L68" s="2">
        <f t="shared" si="5"/>
        <v>2534</v>
      </c>
      <c r="M68" s="70" t="str">
        <f t="shared" si="6"/>
        <v>YES</v>
      </c>
      <c r="N68" s="2">
        <f t="shared" si="7"/>
        <v>588</v>
      </c>
      <c r="O68" s="4" t="b">
        <v>1</v>
      </c>
      <c r="P68" s="2">
        <v>35577</v>
      </c>
      <c r="Q68" s="4" t="s">
        <v>819</v>
      </c>
      <c r="R68" s="2">
        <v>2565</v>
      </c>
      <c r="S68" s="4" t="s">
        <v>837</v>
      </c>
      <c r="T68" s="2">
        <v>1200261</v>
      </c>
      <c r="U68" s="4" t="b">
        <v>1</v>
      </c>
      <c r="V68" s="2">
        <v>10173</v>
      </c>
      <c r="W68" s="4" t="s">
        <v>876</v>
      </c>
      <c r="X68" s="2">
        <v>310</v>
      </c>
      <c r="Y68" s="4" t="s">
        <v>818</v>
      </c>
      <c r="Z68" s="2">
        <v>943</v>
      </c>
      <c r="AA68" s="4" t="s">
        <v>840</v>
      </c>
      <c r="AB68" s="88" t="s">
        <v>887</v>
      </c>
    </row>
    <row r="69" spans="1:28" x14ac:dyDescent="0.2">
      <c r="A69" s="103"/>
      <c r="B69" s="27" t="s">
        <v>75</v>
      </c>
      <c r="C69" s="70" t="s">
        <v>820</v>
      </c>
      <c r="D69" s="2">
        <v>418</v>
      </c>
      <c r="E69" s="4" t="s">
        <v>820</v>
      </c>
      <c r="F69" s="2">
        <v>447</v>
      </c>
      <c r="G69" s="71" t="s">
        <v>818</v>
      </c>
      <c r="H69" s="2">
        <v>387</v>
      </c>
      <c r="I69" s="4" t="b">
        <v>0</v>
      </c>
      <c r="J69" s="2">
        <v>4658</v>
      </c>
      <c r="K69" s="4" t="str">
        <f t="shared" si="4"/>
        <v>NO</v>
      </c>
      <c r="L69" s="2">
        <f t="shared" si="5"/>
        <v>447</v>
      </c>
      <c r="M69" s="70" t="str">
        <f t="shared" si="6"/>
        <v>NO</v>
      </c>
      <c r="N69" s="2">
        <f t="shared" si="7"/>
        <v>418</v>
      </c>
      <c r="O69" s="4" t="b">
        <v>0</v>
      </c>
      <c r="P69" s="2">
        <v>2149</v>
      </c>
      <c r="Q69" s="4" t="s">
        <v>819</v>
      </c>
      <c r="R69" s="2">
        <v>95038</v>
      </c>
      <c r="S69" s="4" t="s">
        <v>837</v>
      </c>
      <c r="T69" s="2">
        <v>1200403</v>
      </c>
      <c r="U69" s="4" t="b">
        <v>1</v>
      </c>
      <c r="V69" s="2">
        <v>7574</v>
      </c>
      <c r="W69" s="4" t="s">
        <v>823</v>
      </c>
      <c r="X69" s="2">
        <v>393</v>
      </c>
      <c r="Y69" s="4" t="s">
        <v>820</v>
      </c>
      <c r="Z69" s="2">
        <v>914</v>
      </c>
      <c r="AA69" s="4" t="s">
        <v>840</v>
      </c>
      <c r="AB69" s="85"/>
    </row>
    <row r="70" spans="1:28" x14ac:dyDescent="0.2">
      <c r="A70" s="103"/>
      <c r="B70" s="27" t="s">
        <v>76</v>
      </c>
      <c r="C70" s="70" t="s">
        <v>818</v>
      </c>
      <c r="D70" s="2">
        <v>443</v>
      </c>
      <c r="E70" s="4" t="s">
        <v>818</v>
      </c>
      <c r="F70" s="2">
        <v>2453</v>
      </c>
      <c r="G70" s="4" t="s">
        <v>818</v>
      </c>
      <c r="H70" s="2">
        <v>414</v>
      </c>
      <c r="I70" s="4" t="b">
        <v>0</v>
      </c>
      <c r="J70" s="2">
        <v>4642</v>
      </c>
      <c r="K70" s="4" t="str">
        <f t="shared" si="4"/>
        <v>YES</v>
      </c>
      <c r="L70" s="2">
        <f t="shared" si="5"/>
        <v>2453</v>
      </c>
      <c r="M70" s="70" t="str">
        <f t="shared" si="6"/>
        <v>YES</v>
      </c>
      <c r="N70" s="2">
        <f t="shared" si="7"/>
        <v>443</v>
      </c>
      <c r="O70" s="4" t="b">
        <v>0</v>
      </c>
      <c r="P70" s="2">
        <v>2062</v>
      </c>
      <c r="Q70" s="4" t="s">
        <v>818</v>
      </c>
      <c r="R70" s="2">
        <v>58339</v>
      </c>
      <c r="S70" s="4" t="b">
        <v>1</v>
      </c>
      <c r="T70" s="2">
        <v>4210</v>
      </c>
      <c r="U70" s="4" t="b">
        <v>1</v>
      </c>
      <c r="V70" s="2">
        <v>7571</v>
      </c>
      <c r="W70" s="4" t="s">
        <v>823</v>
      </c>
      <c r="X70" s="2">
        <v>393</v>
      </c>
      <c r="Y70" s="4" t="s">
        <v>818</v>
      </c>
      <c r="Z70" s="2">
        <v>2168</v>
      </c>
      <c r="AA70" s="4" t="s">
        <v>840</v>
      </c>
      <c r="AB70" s="85"/>
    </row>
    <row r="71" spans="1:28" x14ac:dyDescent="0.2">
      <c r="A71" s="103"/>
      <c r="B71" s="27" t="s">
        <v>77</v>
      </c>
      <c r="C71" s="70" t="s">
        <v>820</v>
      </c>
      <c r="D71" s="2">
        <v>1153</v>
      </c>
      <c r="E71" s="4" t="s">
        <v>837</v>
      </c>
      <c r="F71" s="2">
        <v>300670</v>
      </c>
      <c r="G71" s="71" t="s">
        <v>818</v>
      </c>
      <c r="H71" s="2">
        <v>368</v>
      </c>
      <c r="I71" s="4" t="b">
        <v>1</v>
      </c>
      <c r="J71" s="2">
        <v>4543</v>
      </c>
      <c r="K71" s="4" t="str">
        <f t="shared" si="4"/>
        <v>TIMEOUT</v>
      </c>
      <c r="L71" s="2">
        <f t="shared" si="5"/>
        <v>305213</v>
      </c>
      <c r="M71" s="70" t="str">
        <f t="shared" si="6"/>
        <v>NO</v>
      </c>
      <c r="N71" s="2">
        <f t="shared" si="7"/>
        <v>1153</v>
      </c>
      <c r="O71" s="4" t="b">
        <v>1</v>
      </c>
      <c r="P71" s="2">
        <v>181561</v>
      </c>
      <c r="Q71" s="4" t="s">
        <v>819</v>
      </c>
      <c r="R71" s="2">
        <v>5353</v>
      </c>
      <c r="S71" s="4" t="s">
        <v>833</v>
      </c>
      <c r="T71" s="2">
        <v>34624</v>
      </c>
      <c r="U71" s="4" t="b">
        <v>1</v>
      </c>
      <c r="V71" s="2">
        <v>5763</v>
      </c>
      <c r="W71" s="4" t="s">
        <v>823</v>
      </c>
      <c r="X71" s="2">
        <v>333</v>
      </c>
      <c r="Y71" s="4" t="s">
        <v>820</v>
      </c>
      <c r="Z71" s="2">
        <v>1133</v>
      </c>
      <c r="AA71" s="4" t="s">
        <v>840</v>
      </c>
    </row>
    <row r="72" spans="1:28" x14ac:dyDescent="0.2">
      <c r="A72" s="103"/>
      <c r="B72" s="27" t="s">
        <v>78</v>
      </c>
      <c r="C72" s="70" t="s">
        <v>818</v>
      </c>
      <c r="D72" s="2">
        <v>603</v>
      </c>
      <c r="E72" s="4" t="s">
        <v>818</v>
      </c>
      <c r="F72" s="2">
        <v>5995</v>
      </c>
      <c r="G72" s="4" t="s">
        <v>818</v>
      </c>
      <c r="H72" s="2">
        <v>382</v>
      </c>
      <c r="I72" s="4" t="b">
        <v>1</v>
      </c>
      <c r="J72" s="2">
        <v>4372</v>
      </c>
      <c r="K72" s="4" t="str">
        <f t="shared" si="4"/>
        <v>YES</v>
      </c>
      <c r="L72" s="2">
        <f t="shared" si="5"/>
        <v>5995</v>
      </c>
      <c r="M72" s="70" t="str">
        <f t="shared" si="6"/>
        <v>YES</v>
      </c>
      <c r="N72" s="2">
        <f t="shared" si="7"/>
        <v>603</v>
      </c>
      <c r="O72" s="4" t="b">
        <v>1</v>
      </c>
      <c r="P72" s="2">
        <v>37694</v>
      </c>
      <c r="Q72" s="4" t="s">
        <v>818</v>
      </c>
      <c r="R72" s="2">
        <v>5095</v>
      </c>
      <c r="S72" s="4" t="b">
        <v>1</v>
      </c>
      <c r="T72" s="2">
        <v>2822</v>
      </c>
      <c r="U72" s="4" t="b">
        <v>1</v>
      </c>
      <c r="V72" s="2">
        <v>6058</v>
      </c>
      <c r="W72" s="4" t="s">
        <v>876</v>
      </c>
      <c r="X72" s="2">
        <v>316</v>
      </c>
      <c r="Y72" s="4" t="s">
        <v>818</v>
      </c>
      <c r="Z72" s="2">
        <v>1256</v>
      </c>
      <c r="AA72" s="4" t="s">
        <v>840</v>
      </c>
    </row>
    <row r="73" spans="1:28" x14ac:dyDescent="0.2">
      <c r="A73" s="103"/>
      <c r="B73" s="27" t="s">
        <v>79</v>
      </c>
      <c r="C73" s="70" t="s">
        <v>820</v>
      </c>
      <c r="D73" s="2">
        <v>519</v>
      </c>
      <c r="E73" s="4" t="s">
        <v>820</v>
      </c>
      <c r="F73" s="2">
        <v>3555</v>
      </c>
      <c r="G73" s="4" t="s">
        <v>820</v>
      </c>
      <c r="H73" s="2">
        <v>371</v>
      </c>
      <c r="I73" s="4" t="b">
        <v>1</v>
      </c>
      <c r="J73" s="2">
        <v>4341</v>
      </c>
      <c r="K73" s="4" t="str">
        <f t="shared" si="4"/>
        <v>NO</v>
      </c>
      <c r="L73" s="2">
        <f t="shared" si="5"/>
        <v>3555</v>
      </c>
      <c r="M73" s="70" t="str">
        <f t="shared" si="6"/>
        <v>NO</v>
      </c>
      <c r="N73" s="2">
        <f t="shared" si="7"/>
        <v>519</v>
      </c>
      <c r="O73" s="4" t="b">
        <v>0</v>
      </c>
      <c r="P73" s="2">
        <v>46703</v>
      </c>
      <c r="Q73" s="4" t="s">
        <v>819</v>
      </c>
      <c r="R73" s="2">
        <v>4478</v>
      </c>
      <c r="S73" s="4" t="s">
        <v>833</v>
      </c>
      <c r="T73" s="2">
        <v>11344</v>
      </c>
      <c r="U73" s="4" t="s">
        <v>833</v>
      </c>
      <c r="V73" s="2">
        <v>1201038</v>
      </c>
      <c r="W73" s="4" t="s">
        <v>823</v>
      </c>
      <c r="X73" s="2">
        <v>302</v>
      </c>
      <c r="Y73" s="4" t="s">
        <v>838</v>
      </c>
      <c r="Z73" s="2">
        <v>627</v>
      </c>
      <c r="AA73" s="4" t="s">
        <v>840</v>
      </c>
    </row>
    <row r="74" spans="1:28" x14ac:dyDescent="0.2">
      <c r="A74" s="103"/>
      <c r="B74" s="27" t="s">
        <v>80</v>
      </c>
      <c r="C74" s="4" t="s">
        <v>837</v>
      </c>
      <c r="D74" s="2">
        <v>600423</v>
      </c>
      <c r="E74" s="4" t="s">
        <v>837</v>
      </c>
      <c r="F74" s="2">
        <v>300412</v>
      </c>
      <c r="G74" s="72" t="s">
        <v>820</v>
      </c>
      <c r="H74" s="2">
        <v>385</v>
      </c>
      <c r="I74" s="4" t="b">
        <v>1</v>
      </c>
      <c r="J74" s="2">
        <v>4300</v>
      </c>
      <c r="K74" s="4" t="str">
        <f t="shared" si="4"/>
        <v>TIMEOUT</v>
      </c>
      <c r="L74" s="2">
        <f t="shared" si="5"/>
        <v>304712</v>
      </c>
      <c r="M74" s="4" t="str">
        <f t="shared" si="6"/>
        <v>TIMEOUT</v>
      </c>
      <c r="N74" s="2">
        <f t="shared" si="7"/>
        <v>905135</v>
      </c>
      <c r="O74" s="4" t="b">
        <v>1</v>
      </c>
      <c r="P74" s="2">
        <v>75564</v>
      </c>
      <c r="Q74" s="4" t="s">
        <v>819</v>
      </c>
      <c r="R74" s="2">
        <v>4842</v>
      </c>
      <c r="S74" s="4" t="s">
        <v>833</v>
      </c>
      <c r="T74" s="2">
        <v>15266</v>
      </c>
      <c r="U74" s="4" t="s">
        <v>833</v>
      </c>
      <c r="V74" s="2">
        <v>1201144</v>
      </c>
      <c r="W74" s="4" t="s">
        <v>823</v>
      </c>
      <c r="X74" s="2">
        <v>302</v>
      </c>
      <c r="Y74" s="4" t="s">
        <v>838</v>
      </c>
      <c r="Z74" s="2">
        <v>877</v>
      </c>
      <c r="AA74" s="4" t="s">
        <v>840</v>
      </c>
    </row>
    <row r="75" spans="1:28" x14ac:dyDescent="0.2">
      <c r="A75" s="103"/>
      <c r="B75" s="27" t="s">
        <v>871</v>
      </c>
      <c r="C75" s="70" t="s">
        <v>818</v>
      </c>
      <c r="D75" s="2">
        <v>529</v>
      </c>
      <c r="E75" s="4" t="s">
        <v>838</v>
      </c>
      <c r="F75" s="2">
        <v>315</v>
      </c>
      <c r="G75" s="4" t="s">
        <v>838</v>
      </c>
      <c r="H75" s="2">
        <v>265</v>
      </c>
      <c r="I75" s="4" t="b">
        <v>0</v>
      </c>
      <c r="J75" s="2">
        <v>4643</v>
      </c>
      <c r="K75" s="4" t="str">
        <f t="shared" si="4"/>
        <v>ERROR</v>
      </c>
      <c r="L75" s="2">
        <f t="shared" si="5"/>
        <v>5223</v>
      </c>
      <c r="M75" s="70" t="str">
        <f t="shared" si="6"/>
        <v>YES</v>
      </c>
      <c r="N75" s="2">
        <f t="shared" si="7"/>
        <v>529</v>
      </c>
      <c r="O75" s="4" t="b">
        <v>1</v>
      </c>
      <c r="P75" s="2">
        <v>43554</v>
      </c>
      <c r="Q75" s="4" t="s">
        <v>819</v>
      </c>
      <c r="R75" s="2">
        <v>5150</v>
      </c>
      <c r="S75" s="4" t="s">
        <v>833</v>
      </c>
      <c r="T75" s="2">
        <v>4874</v>
      </c>
      <c r="U75" s="4" t="s">
        <v>837</v>
      </c>
      <c r="V75" s="2">
        <v>12780</v>
      </c>
      <c r="W75" s="4" t="s">
        <v>876</v>
      </c>
      <c r="X75" s="2">
        <v>313</v>
      </c>
      <c r="Y75" s="4" t="s">
        <v>820</v>
      </c>
      <c r="Z75" s="2">
        <v>747</v>
      </c>
      <c r="AA75" s="4" t="s">
        <v>841</v>
      </c>
      <c r="AB75" s="87" t="s">
        <v>887</v>
      </c>
    </row>
    <row r="76" spans="1:28" x14ac:dyDescent="0.2">
      <c r="A76" s="103"/>
      <c r="B76" s="27" t="s">
        <v>81</v>
      </c>
      <c r="C76" s="70" t="s">
        <v>818</v>
      </c>
      <c r="D76" s="2">
        <v>682</v>
      </c>
      <c r="E76" s="4" t="s">
        <v>838</v>
      </c>
      <c r="F76" s="2">
        <v>332</v>
      </c>
      <c r="G76" s="4" t="s">
        <v>838</v>
      </c>
      <c r="H76" s="2">
        <v>259</v>
      </c>
      <c r="I76" s="4" t="b">
        <v>0</v>
      </c>
      <c r="J76" s="2">
        <v>4472</v>
      </c>
      <c r="K76" s="4" t="str">
        <f t="shared" si="4"/>
        <v>ERROR</v>
      </c>
      <c r="L76" s="2">
        <f t="shared" si="5"/>
        <v>5063</v>
      </c>
      <c r="M76" s="70" t="str">
        <f t="shared" si="6"/>
        <v>YES</v>
      </c>
      <c r="N76" s="2">
        <f t="shared" si="7"/>
        <v>682</v>
      </c>
      <c r="O76" s="4" t="b">
        <v>1</v>
      </c>
      <c r="P76" s="2">
        <v>48330</v>
      </c>
      <c r="Q76" s="4" t="s">
        <v>819</v>
      </c>
      <c r="R76" s="2">
        <v>4763</v>
      </c>
      <c r="S76" s="4" t="b">
        <v>0</v>
      </c>
      <c r="T76" s="2">
        <v>3023</v>
      </c>
      <c r="U76" s="66" t="s">
        <v>838</v>
      </c>
      <c r="V76" s="2">
        <v>6600</v>
      </c>
      <c r="W76" s="4" t="s">
        <v>876</v>
      </c>
      <c r="X76" s="2">
        <v>350</v>
      </c>
      <c r="Y76" s="4" t="s">
        <v>820</v>
      </c>
      <c r="Z76" s="2">
        <v>877</v>
      </c>
      <c r="AA76" s="4" t="s">
        <v>841</v>
      </c>
      <c r="AB76" s="88" t="s">
        <v>887</v>
      </c>
    </row>
    <row r="77" spans="1:28" x14ac:dyDescent="0.2">
      <c r="A77" s="103"/>
      <c r="B77" s="27" t="s">
        <v>870</v>
      </c>
      <c r="C77" s="4" t="s">
        <v>837</v>
      </c>
      <c r="D77" s="2">
        <v>600485</v>
      </c>
      <c r="E77" s="4" t="s">
        <v>838</v>
      </c>
      <c r="F77" s="2">
        <v>314</v>
      </c>
      <c r="G77" s="4" t="s">
        <v>838</v>
      </c>
      <c r="H77" s="2">
        <v>246</v>
      </c>
      <c r="I77" s="4" t="s">
        <v>833</v>
      </c>
      <c r="J77" s="2">
        <v>30943</v>
      </c>
      <c r="K77" s="4" t="str">
        <f t="shared" si="4"/>
        <v>ERROR</v>
      </c>
      <c r="L77" s="2">
        <f t="shared" si="5"/>
        <v>31257</v>
      </c>
      <c r="M77" s="4" t="str">
        <f t="shared" si="6"/>
        <v>TIMEOUT</v>
      </c>
      <c r="N77" s="2">
        <f t="shared" si="7"/>
        <v>631742</v>
      </c>
      <c r="O77" s="4" t="b">
        <v>1</v>
      </c>
      <c r="P77" s="2">
        <v>182404</v>
      </c>
      <c r="Q77" s="4" t="s">
        <v>819</v>
      </c>
      <c r="R77" s="2">
        <v>93433</v>
      </c>
      <c r="S77" s="4" t="s">
        <v>833</v>
      </c>
      <c r="T77" s="2">
        <v>4062</v>
      </c>
      <c r="U77" s="4" t="s">
        <v>833</v>
      </c>
      <c r="V77" s="2">
        <v>1200989</v>
      </c>
      <c r="W77" s="4" t="s">
        <v>823</v>
      </c>
      <c r="X77" s="2">
        <v>462</v>
      </c>
      <c r="Y77" s="4" t="s">
        <v>820</v>
      </c>
      <c r="Z77" s="2">
        <v>993</v>
      </c>
      <c r="AA77" s="4" t="s">
        <v>841</v>
      </c>
      <c r="AB77" s="87" t="s">
        <v>887</v>
      </c>
    </row>
    <row r="78" spans="1:28" x14ac:dyDescent="0.2">
      <c r="A78" s="103"/>
      <c r="B78" s="27" t="s">
        <v>82</v>
      </c>
      <c r="C78" s="4" t="s">
        <v>837</v>
      </c>
      <c r="D78" s="2">
        <v>600384</v>
      </c>
      <c r="E78" s="4" t="s">
        <v>838</v>
      </c>
      <c r="F78" s="2">
        <v>307</v>
      </c>
      <c r="G78" s="4" t="s">
        <v>838</v>
      </c>
      <c r="H78" s="2">
        <v>256</v>
      </c>
      <c r="I78" s="4" t="s">
        <v>833</v>
      </c>
      <c r="J78" s="2">
        <v>30953</v>
      </c>
      <c r="K78" s="4" t="str">
        <f t="shared" si="4"/>
        <v>ERROR</v>
      </c>
      <c r="L78" s="2">
        <f t="shared" si="5"/>
        <v>31260</v>
      </c>
      <c r="M78" s="4" t="str">
        <f t="shared" si="6"/>
        <v>TIMEOUT</v>
      </c>
      <c r="N78" s="2">
        <f t="shared" si="7"/>
        <v>631644</v>
      </c>
      <c r="O78" s="4" t="b">
        <v>1</v>
      </c>
      <c r="P78" s="2">
        <v>182399</v>
      </c>
      <c r="Q78" s="4" t="s">
        <v>819</v>
      </c>
      <c r="R78" s="2">
        <v>92904</v>
      </c>
      <c r="S78" s="4" t="s">
        <v>833</v>
      </c>
      <c r="T78" s="2">
        <v>4075</v>
      </c>
      <c r="U78" s="4" t="s">
        <v>833</v>
      </c>
      <c r="V78" s="2">
        <v>1201084</v>
      </c>
      <c r="W78" s="4" t="s">
        <v>823</v>
      </c>
      <c r="X78" s="2">
        <v>450</v>
      </c>
      <c r="Y78" s="4" t="s">
        <v>820</v>
      </c>
      <c r="Z78" s="2">
        <v>1034</v>
      </c>
      <c r="AA78" s="4" t="s">
        <v>841</v>
      </c>
      <c r="AB78" s="88" t="s">
        <v>887</v>
      </c>
    </row>
    <row r="79" spans="1:28" x14ac:dyDescent="0.2">
      <c r="A79" s="103"/>
      <c r="B79" s="27" t="s">
        <v>869</v>
      </c>
      <c r="C79" s="70" t="s">
        <v>818</v>
      </c>
      <c r="D79" s="2">
        <v>521</v>
      </c>
      <c r="E79" s="4" t="s">
        <v>838</v>
      </c>
      <c r="F79" s="2">
        <v>306</v>
      </c>
      <c r="G79" s="4" t="s">
        <v>838</v>
      </c>
      <c r="H79" s="2">
        <v>275</v>
      </c>
      <c r="I79" s="4" t="b">
        <v>1</v>
      </c>
      <c r="J79" s="2">
        <v>5748</v>
      </c>
      <c r="K79" s="4" t="str">
        <f t="shared" si="4"/>
        <v>ERROR</v>
      </c>
      <c r="L79" s="2">
        <f t="shared" si="5"/>
        <v>6054</v>
      </c>
      <c r="M79" s="70" t="str">
        <f t="shared" si="6"/>
        <v>YES</v>
      </c>
      <c r="N79" s="2">
        <f t="shared" si="7"/>
        <v>521</v>
      </c>
      <c r="O79" s="4" t="b">
        <v>1</v>
      </c>
      <c r="P79" s="2">
        <v>43694</v>
      </c>
      <c r="Q79" s="4" t="s">
        <v>819</v>
      </c>
      <c r="R79" s="2">
        <v>4993</v>
      </c>
      <c r="S79" s="4" t="s">
        <v>833</v>
      </c>
      <c r="T79" s="2">
        <v>4336</v>
      </c>
      <c r="U79" s="66" t="s">
        <v>838</v>
      </c>
      <c r="V79" s="2">
        <v>5943</v>
      </c>
      <c r="W79" s="4" t="s">
        <v>876</v>
      </c>
      <c r="X79" s="2">
        <v>333</v>
      </c>
      <c r="Y79" s="4" t="s">
        <v>820</v>
      </c>
      <c r="Z79" s="2">
        <v>980</v>
      </c>
      <c r="AA79" s="4" t="s">
        <v>841</v>
      </c>
      <c r="AB79" s="87" t="s">
        <v>887</v>
      </c>
    </row>
    <row r="80" spans="1:28" x14ac:dyDescent="0.2">
      <c r="A80" s="103"/>
      <c r="B80" s="27" t="s">
        <v>83</v>
      </c>
      <c r="C80" s="70" t="s">
        <v>818</v>
      </c>
      <c r="D80" s="2">
        <v>605</v>
      </c>
      <c r="E80" s="4" t="s">
        <v>838</v>
      </c>
      <c r="F80" s="2">
        <v>300</v>
      </c>
      <c r="G80" s="4" t="s">
        <v>838</v>
      </c>
      <c r="H80" s="2">
        <v>259</v>
      </c>
      <c r="I80" s="4" t="b">
        <v>1</v>
      </c>
      <c r="J80" s="2">
        <v>5795</v>
      </c>
      <c r="K80" s="4" t="str">
        <f t="shared" si="4"/>
        <v>ERROR</v>
      </c>
      <c r="L80" s="2">
        <f t="shared" si="5"/>
        <v>6095</v>
      </c>
      <c r="M80" s="70" t="str">
        <f t="shared" si="6"/>
        <v>YES</v>
      </c>
      <c r="N80" s="2">
        <f t="shared" si="7"/>
        <v>605</v>
      </c>
      <c r="O80" s="4" t="b">
        <v>1</v>
      </c>
      <c r="P80" s="2">
        <v>8010</v>
      </c>
      <c r="Q80" s="4" t="s">
        <v>818</v>
      </c>
      <c r="R80" s="2">
        <v>3852</v>
      </c>
      <c r="S80" s="4" t="b">
        <v>1</v>
      </c>
      <c r="T80" s="2">
        <v>2640</v>
      </c>
      <c r="U80" s="4" t="b">
        <v>1</v>
      </c>
      <c r="V80" s="2">
        <v>6693</v>
      </c>
      <c r="W80" s="4" t="s">
        <v>876</v>
      </c>
      <c r="X80" s="2">
        <v>292</v>
      </c>
      <c r="Y80" s="4" t="s">
        <v>818</v>
      </c>
      <c r="Z80" s="2">
        <v>1403</v>
      </c>
      <c r="AA80" s="4" t="s">
        <v>841</v>
      </c>
      <c r="AB80" s="87" t="s">
        <v>887</v>
      </c>
    </row>
    <row r="81" spans="1:28" x14ac:dyDescent="0.2">
      <c r="A81" s="103"/>
      <c r="B81" s="27" t="s">
        <v>84</v>
      </c>
      <c r="C81" s="70" t="s">
        <v>820</v>
      </c>
      <c r="D81" s="2">
        <v>45693</v>
      </c>
      <c r="E81" s="4" t="s">
        <v>837</v>
      </c>
      <c r="F81" s="2">
        <v>300373</v>
      </c>
      <c r="G81" s="4" t="s">
        <v>820</v>
      </c>
      <c r="H81" s="2">
        <v>517</v>
      </c>
      <c r="I81" s="4" t="b">
        <v>0</v>
      </c>
      <c r="J81" s="2">
        <v>4636</v>
      </c>
      <c r="K81" s="4" t="str">
        <f t="shared" si="4"/>
        <v>NO</v>
      </c>
      <c r="L81" s="2">
        <f t="shared" si="5"/>
        <v>305526</v>
      </c>
      <c r="M81" s="70" t="str">
        <f t="shared" si="6"/>
        <v>NO</v>
      </c>
      <c r="N81" s="2">
        <f t="shared" si="7"/>
        <v>45693</v>
      </c>
      <c r="O81" s="4" t="b">
        <v>0</v>
      </c>
      <c r="P81" s="2">
        <v>2765</v>
      </c>
      <c r="Q81" s="4" t="s">
        <v>837</v>
      </c>
      <c r="R81" s="2">
        <v>1200154</v>
      </c>
      <c r="S81" s="4" t="s">
        <v>833</v>
      </c>
      <c r="T81" s="2">
        <v>33192</v>
      </c>
      <c r="U81" s="4" t="s">
        <v>833</v>
      </c>
      <c r="V81" s="2">
        <v>5871</v>
      </c>
      <c r="W81" s="4" t="s">
        <v>823</v>
      </c>
      <c r="X81" s="2">
        <v>373</v>
      </c>
      <c r="Y81" s="4" t="s">
        <v>820</v>
      </c>
      <c r="Z81" s="2">
        <v>1050</v>
      </c>
      <c r="AA81" s="4" t="s">
        <v>840</v>
      </c>
    </row>
    <row r="82" spans="1:28" x14ac:dyDescent="0.2">
      <c r="A82" s="103"/>
      <c r="B82" s="27" t="s">
        <v>85</v>
      </c>
      <c r="C82" s="70" t="s">
        <v>818</v>
      </c>
      <c r="D82" s="2">
        <v>13246</v>
      </c>
      <c r="E82" s="4" t="s">
        <v>818</v>
      </c>
      <c r="F82" s="2">
        <v>4652</v>
      </c>
      <c r="G82" s="4" t="s">
        <v>818</v>
      </c>
      <c r="H82" s="2">
        <v>351</v>
      </c>
      <c r="I82" s="4" t="b">
        <v>0</v>
      </c>
      <c r="J82" s="2">
        <v>4604</v>
      </c>
      <c r="K82" s="4" t="str">
        <f t="shared" si="4"/>
        <v>YES</v>
      </c>
      <c r="L82" s="2">
        <f t="shared" si="5"/>
        <v>4652</v>
      </c>
      <c r="M82" s="70" t="str">
        <f t="shared" si="6"/>
        <v>YES</v>
      </c>
      <c r="N82" s="2">
        <f t="shared" si="7"/>
        <v>13246</v>
      </c>
      <c r="O82" s="4" t="b">
        <v>1</v>
      </c>
      <c r="P82" s="2">
        <v>182306</v>
      </c>
      <c r="Q82" s="4" t="s">
        <v>837</v>
      </c>
      <c r="R82" s="2">
        <v>1200122</v>
      </c>
      <c r="S82" s="4" t="s">
        <v>833</v>
      </c>
      <c r="T82" s="2">
        <v>62726</v>
      </c>
      <c r="U82" s="4" t="s">
        <v>833</v>
      </c>
      <c r="V82" s="2">
        <v>5942</v>
      </c>
      <c r="W82" s="4" t="s">
        <v>876</v>
      </c>
      <c r="X82" s="2">
        <v>328</v>
      </c>
      <c r="Y82" s="4" t="s">
        <v>818</v>
      </c>
      <c r="Z82" s="2">
        <v>1020</v>
      </c>
      <c r="AA82" s="4" t="s">
        <v>840</v>
      </c>
    </row>
    <row r="83" spans="1:28" x14ac:dyDescent="0.2">
      <c r="A83" s="103"/>
      <c r="B83" s="27" t="s">
        <v>86</v>
      </c>
      <c r="C83" s="70" t="s">
        <v>820</v>
      </c>
      <c r="D83" s="2">
        <v>9844</v>
      </c>
      <c r="E83" s="4" t="s">
        <v>837</v>
      </c>
      <c r="F83" s="2">
        <v>300659</v>
      </c>
      <c r="G83" s="71" t="s">
        <v>818</v>
      </c>
      <c r="H83" s="2">
        <v>382</v>
      </c>
      <c r="I83" s="4" t="s">
        <v>833</v>
      </c>
      <c r="J83" s="2">
        <v>31116</v>
      </c>
      <c r="K83" s="4" t="str">
        <f t="shared" si="4"/>
        <v>TIMEOUT</v>
      </c>
      <c r="L83" s="2">
        <f t="shared" si="5"/>
        <v>331775</v>
      </c>
      <c r="M83" s="70" t="str">
        <f t="shared" si="6"/>
        <v>NO</v>
      </c>
      <c r="N83" s="2">
        <f t="shared" si="7"/>
        <v>9844</v>
      </c>
      <c r="O83" s="4" t="b">
        <v>0</v>
      </c>
      <c r="P83" s="2">
        <v>6033</v>
      </c>
      <c r="Q83" s="4" t="s">
        <v>818</v>
      </c>
      <c r="R83" s="2">
        <v>5714</v>
      </c>
      <c r="S83" s="4" t="s">
        <v>833</v>
      </c>
      <c r="T83" s="2">
        <v>12117</v>
      </c>
      <c r="U83" s="4" t="b">
        <v>1</v>
      </c>
      <c r="V83" s="2">
        <v>5816</v>
      </c>
      <c r="W83" s="4" t="s">
        <v>823</v>
      </c>
      <c r="X83" s="2">
        <v>392</v>
      </c>
      <c r="Y83" s="4" t="s">
        <v>818</v>
      </c>
      <c r="Z83" s="2">
        <v>1277</v>
      </c>
      <c r="AA83" s="4" t="s">
        <v>840</v>
      </c>
    </row>
    <row r="84" spans="1:28" x14ac:dyDescent="0.2">
      <c r="A84" s="103"/>
      <c r="B84" s="27" t="s">
        <v>87</v>
      </c>
      <c r="C84" s="70" t="s">
        <v>818</v>
      </c>
      <c r="D84" s="2">
        <v>515</v>
      </c>
      <c r="E84" s="4" t="s">
        <v>818</v>
      </c>
      <c r="F84" s="2">
        <v>3811</v>
      </c>
      <c r="G84" s="4" t="s">
        <v>818</v>
      </c>
      <c r="H84" s="2">
        <v>376</v>
      </c>
      <c r="I84" s="4" t="s">
        <v>833</v>
      </c>
      <c r="J84" s="2">
        <v>31246</v>
      </c>
      <c r="K84" s="4" t="str">
        <f t="shared" si="4"/>
        <v>YES</v>
      </c>
      <c r="L84" s="2">
        <f t="shared" si="5"/>
        <v>3811</v>
      </c>
      <c r="M84" s="70" t="str">
        <f t="shared" si="6"/>
        <v>YES</v>
      </c>
      <c r="N84" s="2">
        <f t="shared" si="7"/>
        <v>515</v>
      </c>
      <c r="O84" s="4" t="b">
        <v>1</v>
      </c>
      <c r="P84" s="2">
        <v>8361</v>
      </c>
      <c r="Q84" s="4" t="s">
        <v>819</v>
      </c>
      <c r="R84" s="2">
        <v>3945</v>
      </c>
      <c r="S84" s="4" t="s">
        <v>833</v>
      </c>
      <c r="T84" s="2">
        <v>34036</v>
      </c>
      <c r="U84" s="4" t="b">
        <v>1</v>
      </c>
      <c r="V84" s="2">
        <v>5852</v>
      </c>
      <c r="W84" s="4" t="s">
        <v>876</v>
      </c>
      <c r="X84" s="2">
        <v>279</v>
      </c>
      <c r="Y84" s="4" t="s">
        <v>818</v>
      </c>
      <c r="Z84" s="2">
        <v>742</v>
      </c>
      <c r="AA84" s="4" t="s">
        <v>840</v>
      </c>
    </row>
    <row r="85" spans="1:28" x14ac:dyDescent="0.2">
      <c r="A85" s="103"/>
      <c r="B85" s="27" t="s">
        <v>88</v>
      </c>
      <c r="C85" s="4" t="s">
        <v>837</v>
      </c>
      <c r="D85" s="2">
        <v>600359</v>
      </c>
      <c r="E85" s="70" t="s">
        <v>820</v>
      </c>
      <c r="F85" s="2">
        <v>23575</v>
      </c>
      <c r="G85" s="4" t="s">
        <v>820</v>
      </c>
      <c r="H85" s="2">
        <v>359</v>
      </c>
      <c r="I85" s="4" t="b">
        <v>0</v>
      </c>
      <c r="J85" s="2">
        <v>4551</v>
      </c>
      <c r="K85" s="70" t="str">
        <f t="shared" si="4"/>
        <v>NO</v>
      </c>
      <c r="L85" s="2">
        <f t="shared" si="5"/>
        <v>23575</v>
      </c>
      <c r="M85" s="70" t="str">
        <f t="shared" si="6"/>
        <v>NO</v>
      </c>
      <c r="N85" s="2">
        <f t="shared" si="7"/>
        <v>623934</v>
      </c>
      <c r="O85" s="4" t="b">
        <v>0</v>
      </c>
      <c r="P85" s="2">
        <v>2707</v>
      </c>
      <c r="Q85" s="4" t="s">
        <v>818</v>
      </c>
      <c r="R85" s="2">
        <v>6433</v>
      </c>
      <c r="S85" s="4" t="b">
        <v>0</v>
      </c>
      <c r="T85" s="2">
        <v>3608</v>
      </c>
      <c r="U85" s="4" t="s">
        <v>833</v>
      </c>
      <c r="V85" s="2">
        <v>8767</v>
      </c>
      <c r="W85" s="4" t="s">
        <v>823</v>
      </c>
      <c r="X85" s="2">
        <v>325</v>
      </c>
      <c r="Y85" s="4" t="s">
        <v>820</v>
      </c>
      <c r="Z85" s="2">
        <v>1072</v>
      </c>
      <c r="AA85" s="4" t="s">
        <v>840</v>
      </c>
    </row>
    <row r="86" spans="1:28" x14ac:dyDescent="0.2">
      <c r="A86" s="103"/>
      <c r="B86" s="27" t="s">
        <v>89</v>
      </c>
      <c r="C86" s="70" t="s">
        <v>818</v>
      </c>
      <c r="D86" s="2">
        <v>5577</v>
      </c>
      <c r="E86" s="4" t="s">
        <v>818</v>
      </c>
      <c r="F86" s="2">
        <v>14766</v>
      </c>
      <c r="G86" s="71" t="s">
        <v>820</v>
      </c>
      <c r="H86" s="2">
        <v>369</v>
      </c>
      <c r="I86" s="4" t="b">
        <v>0</v>
      </c>
      <c r="J86" s="2">
        <v>4541</v>
      </c>
      <c r="K86" s="4" t="str">
        <f t="shared" si="4"/>
        <v>YES</v>
      </c>
      <c r="L86" s="2">
        <f t="shared" si="5"/>
        <v>14766</v>
      </c>
      <c r="M86" s="70" t="str">
        <f t="shared" si="6"/>
        <v>YES</v>
      </c>
      <c r="N86" s="2">
        <f t="shared" si="7"/>
        <v>5577</v>
      </c>
      <c r="O86" s="4" t="b">
        <v>1</v>
      </c>
      <c r="P86" s="2">
        <v>66036</v>
      </c>
      <c r="Q86" s="4" t="s">
        <v>819</v>
      </c>
      <c r="R86" s="2">
        <v>3616</v>
      </c>
      <c r="S86" s="4" t="s">
        <v>833</v>
      </c>
      <c r="T86" s="2">
        <v>11279</v>
      </c>
      <c r="U86" s="4" t="s">
        <v>833</v>
      </c>
      <c r="V86" s="2">
        <v>1201141</v>
      </c>
      <c r="W86" s="4" t="s">
        <v>876</v>
      </c>
      <c r="X86" s="2">
        <v>294</v>
      </c>
      <c r="Y86" s="4" t="s">
        <v>820</v>
      </c>
      <c r="Z86" s="2">
        <v>1041</v>
      </c>
      <c r="AA86" s="4" t="s">
        <v>840</v>
      </c>
    </row>
    <row r="87" spans="1:28" x14ac:dyDescent="0.2">
      <c r="A87" s="103"/>
      <c r="B87" s="27" t="s">
        <v>90</v>
      </c>
      <c r="C87" s="70" t="s">
        <v>820</v>
      </c>
      <c r="D87" s="2">
        <v>451</v>
      </c>
      <c r="E87" s="4" t="s">
        <v>837</v>
      </c>
      <c r="F87" s="2">
        <v>300384</v>
      </c>
      <c r="G87" s="71" t="s">
        <v>818</v>
      </c>
      <c r="H87" s="2">
        <v>361</v>
      </c>
      <c r="I87" s="4" t="b">
        <v>1</v>
      </c>
      <c r="J87" s="2">
        <v>4465</v>
      </c>
      <c r="K87" s="4" t="str">
        <f t="shared" si="4"/>
        <v>TIMEOUT</v>
      </c>
      <c r="L87" s="2">
        <f t="shared" si="5"/>
        <v>304849</v>
      </c>
      <c r="M87" s="70" t="str">
        <f t="shared" si="6"/>
        <v>NO</v>
      </c>
      <c r="N87" s="2">
        <f t="shared" si="7"/>
        <v>451</v>
      </c>
      <c r="O87" s="4" t="s">
        <v>883</v>
      </c>
      <c r="P87" s="2">
        <v>301808</v>
      </c>
      <c r="Q87" s="79" t="s">
        <v>820</v>
      </c>
      <c r="R87" s="2">
        <v>2763</v>
      </c>
      <c r="S87" s="4" t="s">
        <v>833</v>
      </c>
      <c r="T87" s="2">
        <v>11477</v>
      </c>
      <c r="U87" s="4" t="b">
        <v>1</v>
      </c>
      <c r="V87" s="2">
        <v>5948</v>
      </c>
      <c r="W87" s="4" t="s">
        <v>823</v>
      </c>
      <c r="X87" s="2">
        <v>378</v>
      </c>
      <c r="Y87" s="4" t="s">
        <v>818</v>
      </c>
      <c r="Z87" s="2">
        <v>895</v>
      </c>
      <c r="AA87" s="4" t="s">
        <v>840</v>
      </c>
    </row>
    <row r="88" spans="1:28" x14ac:dyDescent="0.2">
      <c r="A88" s="103"/>
      <c r="B88" s="27" t="s">
        <v>91</v>
      </c>
      <c r="C88" s="70" t="s">
        <v>818</v>
      </c>
      <c r="D88" s="2">
        <v>3956</v>
      </c>
      <c r="E88" s="4" t="s">
        <v>818</v>
      </c>
      <c r="F88" s="2">
        <v>2503</v>
      </c>
      <c r="G88" s="4" t="s">
        <v>818</v>
      </c>
      <c r="H88" s="2">
        <v>442</v>
      </c>
      <c r="I88" s="4" t="b">
        <v>1</v>
      </c>
      <c r="J88" s="2">
        <v>4346</v>
      </c>
      <c r="K88" s="4" t="str">
        <f t="shared" si="4"/>
        <v>YES</v>
      </c>
      <c r="L88" s="2">
        <f t="shared" si="5"/>
        <v>2503</v>
      </c>
      <c r="M88" s="70" t="str">
        <f t="shared" si="6"/>
        <v>YES</v>
      </c>
      <c r="N88" s="2">
        <f t="shared" si="7"/>
        <v>3956</v>
      </c>
      <c r="O88" s="4" t="b">
        <v>1</v>
      </c>
      <c r="P88" s="2">
        <v>182349</v>
      </c>
      <c r="Q88" s="4" t="s">
        <v>818</v>
      </c>
      <c r="R88" s="2">
        <v>4773</v>
      </c>
      <c r="S88" s="4" t="s">
        <v>833</v>
      </c>
      <c r="T88" s="2">
        <v>9509</v>
      </c>
      <c r="U88" s="4" t="s">
        <v>833</v>
      </c>
      <c r="V88" s="2">
        <v>5819</v>
      </c>
      <c r="W88" s="4" t="s">
        <v>876</v>
      </c>
      <c r="X88" s="2">
        <v>295</v>
      </c>
      <c r="Y88" s="4" t="s">
        <v>818</v>
      </c>
      <c r="Z88" s="2">
        <v>780</v>
      </c>
      <c r="AA88" s="4" t="s">
        <v>840</v>
      </c>
    </row>
    <row r="89" spans="1:28" x14ac:dyDescent="0.2">
      <c r="A89" s="103"/>
      <c r="B89" s="27" t="s">
        <v>92</v>
      </c>
      <c r="C89" s="70" t="s">
        <v>820</v>
      </c>
      <c r="D89" s="2">
        <v>810</v>
      </c>
      <c r="E89" s="4" t="s">
        <v>820</v>
      </c>
      <c r="F89" s="2">
        <v>36603</v>
      </c>
      <c r="G89" s="4" t="s">
        <v>820</v>
      </c>
      <c r="H89" s="2">
        <v>497</v>
      </c>
      <c r="I89" s="4" t="s">
        <v>837</v>
      </c>
      <c r="J89" s="2">
        <v>3643</v>
      </c>
      <c r="K89" s="4" t="str">
        <f t="shared" si="4"/>
        <v>NO</v>
      </c>
      <c r="L89" s="2">
        <f t="shared" si="5"/>
        <v>36603</v>
      </c>
      <c r="M89" s="70" t="str">
        <f t="shared" si="6"/>
        <v>NO</v>
      </c>
      <c r="N89" s="2">
        <f t="shared" si="7"/>
        <v>810</v>
      </c>
      <c r="O89" s="4" t="b">
        <v>0</v>
      </c>
      <c r="P89" s="2">
        <v>2291</v>
      </c>
      <c r="Q89" s="4" t="s">
        <v>819</v>
      </c>
      <c r="R89" s="2">
        <v>2911</v>
      </c>
      <c r="S89" s="4" t="b">
        <v>0</v>
      </c>
      <c r="T89" s="2">
        <v>3225</v>
      </c>
      <c r="U89" s="66" t="s">
        <v>838</v>
      </c>
      <c r="V89" s="2">
        <v>3845</v>
      </c>
      <c r="W89" s="4" t="s">
        <v>823</v>
      </c>
      <c r="X89" s="2">
        <v>682</v>
      </c>
      <c r="Y89" s="4" t="s">
        <v>820</v>
      </c>
      <c r="Z89" s="2">
        <v>1704</v>
      </c>
      <c r="AA89" s="4" t="s">
        <v>103</v>
      </c>
    </row>
    <row r="90" spans="1:28" x14ac:dyDescent="0.2">
      <c r="A90" s="103"/>
      <c r="B90" s="27" t="s">
        <v>93</v>
      </c>
      <c r="C90" s="4" t="s">
        <v>837</v>
      </c>
      <c r="D90" s="2">
        <v>600380</v>
      </c>
      <c r="E90" s="4" t="s">
        <v>867</v>
      </c>
      <c r="F90" s="2">
        <v>284711</v>
      </c>
      <c r="G90" s="4" t="s">
        <v>837</v>
      </c>
      <c r="H90" s="2">
        <v>270275</v>
      </c>
      <c r="I90" s="4" t="s">
        <v>837</v>
      </c>
      <c r="J90" s="2">
        <v>3682</v>
      </c>
      <c r="K90" s="4" t="str">
        <f t="shared" si="4"/>
        <v>OOM ERROR</v>
      </c>
      <c r="L90" s="2">
        <f t="shared" si="5"/>
        <v>288393</v>
      </c>
      <c r="M90" s="4" t="str">
        <f t="shared" si="6"/>
        <v>TIMEOUT</v>
      </c>
      <c r="N90" s="2">
        <f t="shared" si="7"/>
        <v>888773</v>
      </c>
      <c r="O90" s="4" t="b">
        <v>0</v>
      </c>
      <c r="P90" s="2">
        <v>6128</v>
      </c>
      <c r="Q90" s="4" t="s">
        <v>819</v>
      </c>
      <c r="R90" s="2">
        <v>2951</v>
      </c>
      <c r="S90" s="4" t="s">
        <v>838</v>
      </c>
      <c r="T90" s="2">
        <v>15684</v>
      </c>
      <c r="U90" s="66" t="s">
        <v>838</v>
      </c>
      <c r="V90" s="2">
        <v>3828</v>
      </c>
      <c r="W90" s="4" t="s">
        <v>823</v>
      </c>
      <c r="X90" s="2">
        <v>502</v>
      </c>
      <c r="Y90" s="4" t="s">
        <v>820</v>
      </c>
      <c r="Z90" s="2">
        <v>4637</v>
      </c>
      <c r="AA90" s="4" t="s">
        <v>103</v>
      </c>
      <c r="AB90" s="85"/>
    </row>
    <row r="91" spans="1:28" x14ac:dyDescent="0.2">
      <c r="A91" s="103"/>
      <c r="B91" s="27" t="s">
        <v>94</v>
      </c>
      <c r="C91" s="70" t="s">
        <v>820</v>
      </c>
      <c r="D91" s="2">
        <v>442</v>
      </c>
      <c r="E91" s="4" t="s">
        <v>820</v>
      </c>
      <c r="F91" s="2">
        <v>4461</v>
      </c>
      <c r="G91" s="4" t="s">
        <v>820</v>
      </c>
      <c r="H91" s="2">
        <v>364</v>
      </c>
      <c r="I91" s="4" t="s">
        <v>833</v>
      </c>
      <c r="J91" s="2">
        <v>31239</v>
      </c>
      <c r="K91" s="4" t="str">
        <f t="shared" si="4"/>
        <v>NO</v>
      </c>
      <c r="L91" s="2">
        <f t="shared" si="5"/>
        <v>4461</v>
      </c>
      <c r="M91" s="70" t="str">
        <f t="shared" si="6"/>
        <v>NO</v>
      </c>
      <c r="N91" s="2">
        <f t="shared" si="7"/>
        <v>442</v>
      </c>
      <c r="O91" s="4" t="s">
        <v>883</v>
      </c>
      <c r="P91" s="2">
        <v>156380</v>
      </c>
      <c r="Q91" s="79" t="s">
        <v>820</v>
      </c>
      <c r="R91" s="2">
        <v>5010</v>
      </c>
      <c r="S91" s="4" t="b">
        <v>0</v>
      </c>
      <c r="T91" s="2">
        <v>2500</v>
      </c>
      <c r="U91" s="4" t="s">
        <v>833</v>
      </c>
      <c r="V91" s="2">
        <v>1201102</v>
      </c>
      <c r="W91" s="4" t="s">
        <v>823</v>
      </c>
      <c r="X91" s="2">
        <v>419</v>
      </c>
      <c r="Y91" s="4" t="s">
        <v>820</v>
      </c>
      <c r="Z91" s="2">
        <v>1004</v>
      </c>
      <c r="AB91" s="85"/>
    </row>
    <row r="92" spans="1:28" x14ac:dyDescent="0.2">
      <c r="A92" s="103"/>
      <c r="B92" s="27" t="s">
        <v>95</v>
      </c>
      <c r="C92" s="70" t="s">
        <v>818</v>
      </c>
      <c r="D92" s="2">
        <v>526</v>
      </c>
      <c r="E92" s="4" t="s">
        <v>818</v>
      </c>
      <c r="F92" s="2">
        <v>4408</v>
      </c>
      <c r="G92" s="4" t="s">
        <v>818</v>
      </c>
      <c r="H92" s="2">
        <v>370</v>
      </c>
      <c r="I92" s="4" t="b">
        <v>1</v>
      </c>
      <c r="J92" s="2">
        <v>4352</v>
      </c>
      <c r="K92" s="4" t="str">
        <f t="shared" si="4"/>
        <v>YES</v>
      </c>
      <c r="L92" s="2">
        <f t="shared" si="5"/>
        <v>4408</v>
      </c>
      <c r="M92" s="70" t="str">
        <f t="shared" si="6"/>
        <v>YES</v>
      </c>
      <c r="N92" s="2">
        <f t="shared" si="7"/>
        <v>526</v>
      </c>
      <c r="O92" s="4" t="b">
        <v>1</v>
      </c>
      <c r="P92" s="2">
        <v>32150</v>
      </c>
      <c r="Q92" s="4" t="s">
        <v>818</v>
      </c>
      <c r="R92" s="2">
        <v>4306</v>
      </c>
      <c r="S92" s="4" t="b">
        <v>1</v>
      </c>
      <c r="T92" s="2">
        <v>2724</v>
      </c>
      <c r="U92" s="4" t="b">
        <v>1</v>
      </c>
      <c r="V92" s="2">
        <v>5610</v>
      </c>
      <c r="W92" s="4" t="s">
        <v>876</v>
      </c>
      <c r="X92" s="2">
        <v>311</v>
      </c>
      <c r="Y92" s="4" t="s">
        <v>818</v>
      </c>
      <c r="Z92" s="2">
        <v>873</v>
      </c>
    </row>
    <row r="93" spans="1:28" x14ac:dyDescent="0.2">
      <c r="A93" s="103"/>
      <c r="B93" s="27" t="s">
        <v>96</v>
      </c>
      <c r="C93" s="4" t="s">
        <v>837</v>
      </c>
      <c r="D93" s="2">
        <v>600330</v>
      </c>
      <c r="E93" s="4" t="s">
        <v>837</v>
      </c>
      <c r="F93" s="2">
        <v>301086</v>
      </c>
      <c r="G93" s="70" t="s">
        <v>820</v>
      </c>
      <c r="H93" s="2">
        <v>480</v>
      </c>
      <c r="I93" s="4" t="b">
        <v>0</v>
      </c>
      <c r="J93" s="2">
        <v>6864</v>
      </c>
      <c r="K93" s="70" t="str">
        <f t="shared" si="4"/>
        <v>NO</v>
      </c>
      <c r="L93" s="2">
        <f t="shared" si="5"/>
        <v>308430</v>
      </c>
      <c r="M93" s="70" t="str">
        <f t="shared" si="6"/>
        <v>NO</v>
      </c>
      <c r="N93" s="2">
        <f t="shared" si="7"/>
        <v>908760</v>
      </c>
      <c r="O93" s="4" t="s">
        <v>883</v>
      </c>
      <c r="P93" s="2">
        <v>301767</v>
      </c>
      <c r="Q93" s="4" t="s">
        <v>819</v>
      </c>
      <c r="R93" s="2">
        <v>8452</v>
      </c>
      <c r="S93" s="4" t="s">
        <v>833</v>
      </c>
      <c r="T93" s="2">
        <v>156005</v>
      </c>
      <c r="U93" s="4" t="s">
        <v>833</v>
      </c>
      <c r="V93" s="2">
        <v>9671</v>
      </c>
      <c r="W93" s="4" t="s">
        <v>823</v>
      </c>
      <c r="X93" s="2">
        <v>592</v>
      </c>
      <c r="Y93" s="4" t="s">
        <v>838</v>
      </c>
      <c r="Z93" s="2">
        <v>933</v>
      </c>
      <c r="AA93" s="4" t="s">
        <v>98</v>
      </c>
      <c r="AB93" s="85"/>
    </row>
    <row r="94" spans="1:28" s="9" customFormat="1" ht="21" thickBot="1" x14ac:dyDescent="0.25">
      <c r="A94" s="103"/>
      <c r="B94" s="68" t="s">
        <v>97</v>
      </c>
      <c r="C94" s="6" t="s">
        <v>837</v>
      </c>
      <c r="D94" s="9">
        <v>600410</v>
      </c>
      <c r="E94" s="6" t="s">
        <v>837</v>
      </c>
      <c r="F94" s="2">
        <v>300788</v>
      </c>
      <c r="G94" s="70" t="s">
        <v>818</v>
      </c>
      <c r="H94" s="2">
        <v>23259</v>
      </c>
      <c r="I94" s="4" t="b">
        <v>0</v>
      </c>
      <c r="J94" s="7">
        <v>7398</v>
      </c>
      <c r="K94" s="73" t="str">
        <f t="shared" si="4"/>
        <v>YES</v>
      </c>
      <c r="L94" s="7">
        <f t="shared" si="5"/>
        <v>331445</v>
      </c>
      <c r="M94" s="73" t="str">
        <f t="shared" si="6"/>
        <v>YES</v>
      </c>
      <c r="N94" s="9">
        <f t="shared" si="7"/>
        <v>931855</v>
      </c>
      <c r="O94" s="6" t="b">
        <v>1</v>
      </c>
      <c r="P94" s="7">
        <v>183179</v>
      </c>
      <c r="Q94" s="6" t="s">
        <v>819</v>
      </c>
      <c r="R94" s="9">
        <v>8528</v>
      </c>
      <c r="S94" s="6" t="b">
        <v>1</v>
      </c>
      <c r="T94" s="9">
        <v>83260</v>
      </c>
      <c r="U94" s="6" t="s">
        <v>833</v>
      </c>
      <c r="V94" s="9">
        <v>12066</v>
      </c>
      <c r="W94" s="6" t="s">
        <v>823</v>
      </c>
      <c r="X94" s="9">
        <v>573</v>
      </c>
      <c r="Y94" s="6" t="s">
        <v>838</v>
      </c>
      <c r="Z94" s="9">
        <v>810</v>
      </c>
      <c r="AA94" s="6" t="s">
        <v>98</v>
      </c>
      <c r="AB94" s="86"/>
    </row>
    <row r="95" spans="1:28" x14ac:dyDescent="0.2">
      <c r="A95" s="102" t="s">
        <v>810</v>
      </c>
      <c r="B95" s="43" t="s">
        <v>10</v>
      </c>
      <c r="C95" s="4" t="s">
        <v>819</v>
      </c>
      <c r="D95" s="2">
        <v>1563</v>
      </c>
      <c r="E95" s="4" t="s">
        <v>819</v>
      </c>
      <c r="F95" s="11">
        <v>1522</v>
      </c>
      <c r="G95" s="74" t="s">
        <v>819</v>
      </c>
      <c r="H95" s="11">
        <v>1438</v>
      </c>
      <c r="I95" s="74" t="s">
        <v>833</v>
      </c>
      <c r="J95" s="2">
        <v>4925</v>
      </c>
      <c r="K95" s="4" t="str">
        <f t="shared" si="4"/>
        <v>MAYBE</v>
      </c>
      <c r="L95" s="2">
        <f t="shared" si="5"/>
        <v>6447</v>
      </c>
      <c r="M95" s="4" t="str">
        <f t="shared" si="6"/>
        <v>MAYBE</v>
      </c>
      <c r="N95" s="2">
        <f t="shared" si="7"/>
        <v>8010</v>
      </c>
      <c r="O95" s="74" t="s">
        <v>883</v>
      </c>
      <c r="P95" s="2">
        <v>121536</v>
      </c>
      <c r="Q95" s="4" t="s">
        <v>819</v>
      </c>
      <c r="R95" s="2">
        <v>3628</v>
      </c>
      <c r="S95" s="4" t="b">
        <v>0</v>
      </c>
      <c r="T95" s="2">
        <v>14363</v>
      </c>
      <c r="U95" s="66" t="s">
        <v>838</v>
      </c>
      <c r="V95" s="2">
        <v>4446</v>
      </c>
      <c r="W95" s="4" t="s">
        <v>822</v>
      </c>
      <c r="X95" s="2">
        <v>936</v>
      </c>
      <c r="Y95" s="4" t="s">
        <v>818</v>
      </c>
      <c r="Z95" s="2">
        <v>717</v>
      </c>
      <c r="AA95" s="4" t="s">
        <v>101</v>
      </c>
      <c r="AB95" s="85"/>
    </row>
    <row r="96" spans="1:28" x14ac:dyDescent="0.2">
      <c r="A96" s="103"/>
      <c r="B96" s="43" t="s">
        <v>11</v>
      </c>
      <c r="C96" s="4" t="s">
        <v>819</v>
      </c>
      <c r="D96" s="2">
        <v>1533</v>
      </c>
      <c r="E96" s="4" t="s">
        <v>819</v>
      </c>
      <c r="F96" s="2">
        <v>1568</v>
      </c>
      <c r="G96" s="4" t="s">
        <v>819</v>
      </c>
      <c r="H96" s="2">
        <v>1439</v>
      </c>
      <c r="I96" s="4" t="s">
        <v>833</v>
      </c>
      <c r="J96" s="2">
        <v>4882</v>
      </c>
      <c r="K96" s="4" t="str">
        <f t="shared" si="4"/>
        <v>MAYBE</v>
      </c>
      <c r="L96" s="2">
        <f t="shared" si="5"/>
        <v>6450</v>
      </c>
      <c r="M96" s="4" t="str">
        <f t="shared" si="6"/>
        <v>MAYBE</v>
      </c>
      <c r="N96" s="2">
        <f t="shared" si="7"/>
        <v>7983</v>
      </c>
      <c r="O96" s="4" t="b">
        <v>1</v>
      </c>
      <c r="P96" s="2">
        <v>1801</v>
      </c>
      <c r="Q96" s="4" t="s">
        <v>819</v>
      </c>
      <c r="R96" s="2">
        <v>3624</v>
      </c>
      <c r="S96" s="4" t="b">
        <v>1</v>
      </c>
      <c r="T96" s="2">
        <v>2373</v>
      </c>
      <c r="U96" s="66" t="s">
        <v>838</v>
      </c>
      <c r="V96" s="2">
        <v>4477</v>
      </c>
      <c r="W96" s="4" t="s">
        <v>822</v>
      </c>
      <c r="X96" s="2">
        <v>888</v>
      </c>
      <c r="Y96" s="4" t="s">
        <v>818</v>
      </c>
      <c r="Z96" s="2">
        <v>870</v>
      </c>
      <c r="AA96" s="4" t="s">
        <v>101</v>
      </c>
      <c r="AB96" s="85"/>
    </row>
    <row r="97" spans="1:28" x14ac:dyDescent="0.2">
      <c r="A97" s="103"/>
      <c r="B97" s="43" t="s">
        <v>22</v>
      </c>
      <c r="C97" s="4" t="s">
        <v>819</v>
      </c>
      <c r="D97" s="2">
        <v>1474</v>
      </c>
      <c r="E97" s="4" t="s">
        <v>819</v>
      </c>
      <c r="F97" s="2">
        <v>1534</v>
      </c>
      <c r="G97" s="4" t="s">
        <v>819</v>
      </c>
      <c r="H97" s="2">
        <v>1396</v>
      </c>
      <c r="I97" s="4" t="s">
        <v>833</v>
      </c>
      <c r="J97" s="2">
        <v>4249</v>
      </c>
      <c r="K97" s="4" t="str">
        <f t="shared" si="4"/>
        <v>MAYBE</v>
      </c>
      <c r="L97" s="2">
        <f t="shared" si="5"/>
        <v>5783</v>
      </c>
      <c r="M97" s="4" t="str">
        <f t="shared" si="6"/>
        <v>MAYBE</v>
      </c>
      <c r="N97" s="2">
        <f t="shared" si="7"/>
        <v>7257</v>
      </c>
      <c r="O97" s="4" t="s">
        <v>883</v>
      </c>
      <c r="P97" s="2">
        <v>121826</v>
      </c>
      <c r="Q97" s="4" t="s">
        <v>819</v>
      </c>
      <c r="R97" s="2">
        <v>7550</v>
      </c>
      <c r="S97" s="4" t="b">
        <v>0</v>
      </c>
      <c r="T97" s="2">
        <v>3002</v>
      </c>
      <c r="U97" s="66" t="s">
        <v>838</v>
      </c>
      <c r="V97" s="2">
        <v>3904</v>
      </c>
      <c r="W97" s="4" t="s">
        <v>822</v>
      </c>
      <c r="X97" s="2">
        <v>540</v>
      </c>
      <c r="Y97" s="4" t="s">
        <v>818</v>
      </c>
      <c r="Z97" s="2">
        <v>678</v>
      </c>
      <c r="AA97" s="4" t="s">
        <v>101</v>
      </c>
    </row>
    <row r="98" spans="1:28" x14ac:dyDescent="0.2">
      <c r="A98" s="103"/>
      <c r="B98" s="43" t="s">
        <v>23</v>
      </c>
      <c r="C98" s="4" t="s">
        <v>819</v>
      </c>
      <c r="D98" s="2">
        <v>1631</v>
      </c>
      <c r="E98" s="4" t="s">
        <v>819</v>
      </c>
      <c r="F98" s="2">
        <v>1688</v>
      </c>
      <c r="G98" s="4" t="s">
        <v>819</v>
      </c>
      <c r="H98" s="2">
        <v>1576</v>
      </c>
      <c r="I98" s="4" t="b">
        <v>1</v>
      </c>
      <c r="J98" s="2">
        <v>4252</v>
      </c>
      <c r="K98" s="4" t="str">
        <f t="shared" si="4"/>
        <v>MAYBE</v>
      </c>
      <c r="L98" s="2">
        <f t="shared" si="5"/>
        <v>5940</v>
      </c>
      <c r="M98" s="4" t="str">
        <f t="shared" si="6"/>
        <v>MAYBE</v>
      </c>
      <c r="N98" s="2">
        <f t="shared" si="7"/>
        <v>7571</v>
      </c>
      <c r="O98" s="4" t="b">
        <v>1</v>
      </c>
      <c r="P98" s="2">
        <v>1604</v>
      </c>
      <c r="Q98" s="4" t="s">
        <v>818</v>
      </c>
      <c r="R98" s="2">
        <v>4206</v>
      </c>
      <c r="S98" s="4" t="b">
        <v>1</v>
      </c>
      <c r="T98" s="2">
        <v>2209</v>
      </c>
      <c r="U98" s="4" t="b">
        <v>1</v>
      </c>
      <c r="V98" s="2">
        <v>4389</v>
      </c>
      <c r="W98" s="4" t="s">
        <v>876</v>
      </c>
      <c r="X98" s="2">
        <v>383</v>
      </c>
      <c r="Y98" s="4" t="s">
        <v>818</v>
      </c>
      <c r="Z98" s="2">
        <v>577</v>
      </c>
      <c r="AA98" s="4" t="s">
        <v>101</v>
      </c>
    </row>
    <row r="99" spans="1:28" x14ac:dyDescent="0.2">
      <c r="A99" s="103"/>
      <c r="B99" s="43" t="s">
        <v>24</v>
      </c>
      <c r="C99" s="4" t="s">
        <v>819</v>
      </c>
      <c r="D99" s="2">
        <v>578</v>
      </c>
      <c r="E99" s="4" t="s">
        <v>819</v>
      </c>
      <c r="F99" s="2">
        <v>655</v>
      </c>
      <c r="G99" s="4" t="s">
        <v>819</v>
      </c>
      <c r="H99" s="2">
        <v>575</v>
      </c>
      <c r="I99" s="4" t="s">
        <v>838</v>
      </c>
      <c r="J99" s="2">
        <v>2643</v>
      </c>
      <c r="K99" s="4" t="str">
        <f t="shared" si="4"/>
        <v>MAYBE</v>
      </c>
      <c r="L99" s="2">
        <f t="shared" si="5"/>
        <v>3298</v>
      </c>
      <c r="M99" s="4" t="str">
        <f t="shared" si="6"/>
        <v>MAYBE</v>
      </c>
      <c r="N99" s="2">
        <f t="shared" si="7"/>
        <v>3876</v>
      </c>
      <c r="O99" s="4" t="s">
        <v>883</v>
      </c>
      <c r="P99" s="2">
        <v>1935</v>
      </c>
      <c r="Q99" s="4" t="s">
        <v>819</v>
      </c>
      <c r="R99" s="2">
        <v>2182</v>
      </c>
      <c r="S99" s="4" t="s">
        <v>833</v>
      </c>
      <c r="T99" s="2">
        <v>3060</v>
      </c>
      <c r="U99" s="66" t="s">
        <v>838</v>
      </c>
      <c r="V99" s="2">
        <v>2662</v>
      </c>
      <c r="W99" s="4" t="s">
        <v>822</v>
      </c>
      <c r="X99" s="2">
        <v>248</v>
      </c>
      <c r="Y99" s="4" t="s">
        <v>838</v>
      </c>
      <c r="Z99" s="2">
        <v>805</v>
      </c>
      <c r="AA99" s="4" t="s">
        <v>101</v>
      </c>
    </row>
    <row r="100" spans="1:28" x14ac:dyDescent="0.2">
      <c r="A100" s="103"/>
      <c r="B100" s="43" t="s">
        <v>25</v>
      </c>
      <c r="C100" s="4" t="s">
        <v>819</v>
      </c>
      <c r="D100" s="2">
        <v>574</v>
      </c>
      <c r="E100" s="4" t="s">
        <v>819</v>
      </c>
      <c r="F100" s="2">
        <v>598</v>
      </c>
      <c r="G100" s="4" t="s">
        <v>819</v>
      </c>
      <c r="H100" s="2">
        <v>563</v>
      </c>
      <c r="I100" s="4" t="s">
        <v>838</v>
      </c>
      <c r="J100" s="2">
        <v>2608</v>
      </c>
      <c r="K100" s="4" t="str">
        <f t="shared" si="4"/>
        <v>MAYBE</v>
      </c>
      <c r="L100" s="2">
        <f t="shared" si="5"/>
        <v>3206</v>
      </c>
      <c r="M100" s="4" t="str">
        <f t="shared" si="6"/>
        <v>MAYBE</v>
      </c>
      <c r="N100" s="2">
        <f t="shared" si="7"/>
        <v>3780</v>
      </c>
      <c r="O100" s="4" t="s">
        <v>883</v>
      </c>
      <c r="P100" s="2">
        <v>1926</v>
      </c>
      <c r="Q100" s="4" t="s">
        <v>819</v>
      </c>
      <c r="R100" s="2">
        <v>2277</v>
      </c>
      <c r="S100" s="4" t="s">
        <v>833</v>
      </c>
      <c r="T100" s="2">
        <v>3012</v>
      </c>
      <c r="U100" s="66" t="s">
        <v>838</v>
      </c>
      <c r="V100" s="2">
        <v>2656</v>
      </c>
      <c r="W100" s="4" t="s">
        <v>822</v>
      </c>
      <c r="X100" s="2">
        <v>268</v>
      </c>
      <c r="Y100" s="4" t="s">
        <v>838</v>
      </c>
      <c r="Z100" s="2">
        <v>541</v>
      </c>
      <c r="AA100" s="4" t="s">
        <v>101</v>
      </c>
    </row>
    <row r="101" spans="1:28" x14ac:dyDescent="0.2">
      <c r="A101" s="103"/>
      <c r="B101" s="43" t="s">
        <v>845</v>
      </c>
      <c r="C101" s="4" t="s">
        <v>819</v>
      </c>
      <c r="D101" s="2">
        <v>487</v>
      </c>
      <c r="E101" s="4" t="s">
        <v>819</v>
      </c>
      <c r="F101" s="2">
        <v>483</v>
      </c>
      <c r="G101" s="4" t="s">
        <v>819</v>
      </c>
      <c r="H101" s="2">
        <v>463</v>
      </c>
      <c r="I101" s="4" t="s">
        <v>838</v>
      </c>
      <c r="J101" s="2">
        <v>2143</v>
      </c>
      <c r="K101" s="4" t="str">
        <f t="shared" si="4"/>
        <v>MAYBE</v>
      </c>
      <c r="L101" s="2">
        <f t="shared" si="5"/>
        <v>2626</v>
      </c>
      <c r="M101" s="4" t="str">
        <f t="shared" si="6"/>
        <v>MAYBE</v>
      </c>
      <c r="N101" s="2">
        <f t="shared" si="7"/>
        <v>3113</v>
      </c>
      <c r="O101" s="4" t="s">
        <v>883</v>
      </c>
      <c r="P101" s="2">
        <v>2043</v>
      </c>
      <c r="Q101" s="4" t="s">
        <v>819</v>
      </c>
      <c r="R101" s="2">
        <v>2299</v>
      </c>
      <c r="S101" s="4" t="s">
        <v>833</v>
      </c>
      <c r="T101" s="2">
        <v>2155</v>
      </c>
      <c r="U101" s="66" t="s">
        <v>838</v>
      </c>
      <c r="V101" s="2">
        <v>2154</v>
      </c>
      <c r="W101" s="4" t="s">
        <v>822</v>
      </c>
      <c r="X101" s="2">
        <v>259</v>
      </c>
      <c r="Y101" s="4" t="s">
        <v>818</v>
      </c>
      <c r="Z101" s="2">
        <v>782</v>
      </c>
      <c r="AA101" s="4" t="s">
        <v>101</v>
      </c>
    </row>
    <row r="102" spans="1:28" x14ac:dyDescent="0.2">
      <c r="A102" s="103"/>
      <c r="B102" s="43" t="s">
        <v>846</v>
      </c>
      <c r="C102" s="4" t="s">
        <v>819</v>
      </c>
      <c r="D102" s="2">
        <v>490</v>
      </c>
      <c r="E102" s="4" t="s">
        <v>819</v>
      </c>
      <c r="F102" s="2">
        <v>491</v>
      </c>
      <c r="G102" s="4" t="s">
        <v>819</v>
      </c>
      <c r="H102" s="2">
        <v>451</v>
      </c>
      <c r="I102" s="4" t="s">
        <v>838</v>
      </c>
      <c r="J102" s="2">
        <v>2173</v>
      </c>
      <c r="K102" s="4" t="str">
        <f t="shared" si="4"/>
        <v>MAYBE</v>
      </c>
      <c r="L102" s="2">
        <f t="shared" si="5"/>
        <v>2664</v>
      </c>
      <c r="M102" s="4" t="str">
        <f t="shared" si="6"/>
        <v>MAYBE</v>
      </c>
      <c r="N102" s="2">
        <f t="shared" si="7"/>
        <v>3154</v>
      </c>
      <c r="O102" s="4" t="b">
        <v>1</v>
      </c>
      <c r="P102" s="2">
        <v>1533</v>
      </c>
      <c r="Q102" s="4" t="s">
        <v>819</v>
      </c>
      <c r="R102" s="2">
        <v>2302</v>
      </c>
      <c r="S102" s="4" t="s">
        <v>833</v>
      </c>
      <c r="T102" s="2">
        <v>2143</v>
      </c>
      <c r="U102" s="66" t="s">
        <v>838</v>
      </c>
      <c r="V102" s="2">
        <v>2167</v>
      </c>
      <c r="W102" s="4" t="s">
        <v>822</v>
      </c>
      <c r="X102" s="2">
        <v>240</v>
      </c>
      <c r="Y102" s="4" t="s">
        <v>818</v>
      </c>
      <c r="Z102" s="2">
        <v>945</v>
      </c>
      <c r="AA102" s="4" t="s">
        <v>101</v>
      </c>
    </row>
    <row r="103" spans="1:28" x14ac:dyDescent="0.2">
      <c r="A103" s="103"/>
      <c r="B103" s="43" t="s">
        <v>33</v>
      </c>
      <c r="C103" s="4" t="s">
        <v>819</v>
      </c>
      <c r="D103" s="2">
        <v>1476</v>
      </c>
      <c r="E103" s="4" t="s">
        <v>819</v>
      </c>
      <c r="F103" s="2">
        <v>1514</v>
      </c>
      <c r="G103" s="4" t="s">
        <v>819</v>
      </c>
      <c r="H103" s="2">
        <v>1361</v>
      </c>
      <c r="I103" s="4" t="s">
        <v>833</v>
      </c>
      <c r="J103" s="2">
        <v>4695</v>
      </c>
      <c r="K103" s="4" t="str">
        <f t="shared" si="4"/>
        <v>MAYBE</v>
      </c>
      <c r="L103" s="2">
        <f t="shared" si="5"/>
        <v>6209</v>
      </c>
      <c r="M103" s="4" t="str">
        <f t="shared" si="6"/>
        <v>MAYBE</v>
      </c>
      <c r="N103" s="2">
        <f t="shared" si="7"/>
        <v>7685</v>
      </c>
      <c r="O103" s="4" t="s">
        <v>883</v>
      </c>
      <c r="P103" s="2">
        <v>161135</v>
      </c>
      <c r="Q103" s="4" t="s">
        <v>819</v>
      </c>
      <c r="R103" s="2">
        <v>2351</v>
      </c>
      <c r="S103" s="4" t="s">
        <v>838</v>
      </c>
      <c r="T103" s="2">
        <v>3012</v>
      </c>
      <c r="U103" s="4" t="s">
        <v>833</v>
      </c>
      <c r="V103" s="2">
        <v>5390</v>
      </c>
      <c r="W103" s="4" t="s">
        <v>876</v>
      </c>
      <c r="X103" s="2">
        <v>524</v>
      </c>
      <c r="Y103" s="4" t="s">
        <v>818</v>
      </c>
      <c r="Z103" s="2">
        <v>727</v>
      </c>
      <c r="AA103" s="4" t="s">
        <v>101</v>
      </c>
      <c r="AB103" s="85"/>
    </row>
    <row r="104" spans="1:28" x14ac:dyDescent="0.2">
      <c r="A104" s="103"/>
      <c r="B104" s="43" t="s">
        <v>34</v>
      </c>
      <c r="C104" s="4" t="s">
        <v>819</v>
      </c>
      <c r="D104" s="2">
        <v>1408</v>
      </c>
      <c r="E104" s="4" t="s">
        <v>819</v>
      </c>
      <c r="F104" s="2">
        <v>1505</v>
      </c>
      <c r="G104" s="4" t="s">
        <v>819</v>
      </c>
      <c r="H104" s="2">
        <v>1402</v>
      </c>
      <c r="I104" s="4" t="s">
        <v>833</v>
      </c>
      <c r="J104" s="2">
        <v>4712</v>
      </c>
      <c r="K104" s="4" t="str">
        <f t="shared" si="4"/>
        <v>MAYBE</v>
      </c>
      <c r="L104" s="2">
        <f t="shared" si="5"/>
        <v>6217</v>
      </c>
      <c r="M104" s="4" t="str">
        <f t="shared" si="6"/>
        <v>MAYBE</v>
      </c>
      <c r="N104" s="2">
        <f t="shared" si="7"/>
        <v>7625</v>
      </c>
      <c r="O104" s="4" t="s">
        <v>883</v>
      </c>
      <c r="P104" s="2">
        <v>181325</v>
      </c>
      <c r="Q104" s="4" t="s">
        <v>819</v>
      </c>
      <c r="R104" s="2">
        <v>2346</v>
      </c>
      <c r="S104" s="4" t="s">
        <v>838</v>
      </c>
      <c r="T104" s="2">
        <v>3387</v>
      </c>
      <c r="U104" s="4" t="s">
        <v>833</v>
      </c>
      <c r="V104" s="2">
        <v>5455</v>
      </c>
      <c r="W104" s="4" t="s">
        <v>876</v>
      </c>
      <c r="X104" s="2">
        <v>538</v>
      </c>
      <c r="Y104" s="4" t="s">
        <v>818</v>
      </c>
      <c r="Z104" s="2">
        <v>744</v>
      </c>
      <c r="AA104" s="4" t="s">
        <v>101</v>
      </c>
      <c r="AB104" s="85"/>
    </row>
    <row r="105" spans="1:28" x14ac:dyDescent="0.2">
      <c r="A105" s="103"/>
      <c r="B105" s="43" t="s">
        <v>847</v>
      </c>
      <c r="C105" s="4" t="s">
        <v>819</v>
      </c>
      <c r="D105" s="2">
        <v>477</v>
      </c>
      <c r="E105" s="4" t="s">
        <v>819</v>
      </c>
      <c r="F105" s="2">
        <v>478</v>
      </c>
      <c r="G105" s="4" t="s">
        <v>819</v>
      </c>
      <c r="H105" s="2">
        <v>477</v>
      </c>
      <c r="I105" s="4" t="s">
        <v>838</v>
      </c>
      <c r="J105" s="2">
        <v>2156</v>
      </c>
      <c r="K105" s="4" t="str">
        <f t="shared" si="4"/>
        <v>MAYBE</v>
      </c>
      <c r="L105" s="2">
        <f t="shared" si="5"/>
        <v>2634</v>
      </c>
      <c r="M105" s="4" t="str">
        <f t="shared" si="6"/>
        <v>MAYBE</v>
      </c>
      <c r="N105" s="2">
        <f t="shared" si="7"/>
        <v>3111</v>
      </c>
      <c r="O105" s="4" t="s">
        <v>883</v>
      </c>
      <c r="P105" s="2">
        <v>302128</v>
      </c>
      <c r="Q105" s="4" t="s">
        <v>819</v>
      </c>
      <c r="R105" s="2">
        <v>29225</v>
      </c>
      <c r="S105" s="4" t="s">
        <v>833</v>
      </c>
      <c r="T105" s="2">
        <v>2173</v>
      </c>
      <c r="U105" s="66" t="s">
        <v>838</v>
      </c>
      <c r="V105" s="2">
        <v>2153</v>
      </c>
      <c r="W105" s="4" t="s">
        <v>822</v>
      </c>
      <c r="X105" s="2">
        <v>259</v>
      </c>
      <c r="Y105" s="4" t="s">
        <v>818</v>
      </c>
      <c r="Z105" s="2">
        <v>742</v>
      </c>
      <c r="AA105" s="4" t="s">
        <v>101</v>
      </c>
    </row>
    <row r="106" spans="1:28" x14ac:dyDescent="0.2">
      <c r="A106" s="103"/>
      <c r="B106" s="43" t="s">
        <v>858</v>
      </c>
      <c r="C106" s="4" t="s">
        <v>819</v>
      </c>
      <c r="D106" s="2">
        <v>505</v>
      </c>
      <c r="E106" s="4" t="s">
        <v>819</v>
      </c>
      <c r="F106" s="2">
        <v>481</v>
      </c>
      <c r="G106" s="4" t="s">
        <v>819</v>
      </c>
      <c r="H106" s="2">
        <v>456</v>
      </c>
      <c r="I106" s="4" t="s">
        <v>838</v>
      </c>
      <c r="J106" s="2">
        <v>2123</v>
      </c>
      <c r="K106" s="4" t="str">
        <f t="shared" si="4"/>
        <v>MAYBE</v>
      </c>
      <c r="L106" s="2">
        <f t="shared" si="5"/>
        <v>2604</v>
      </c>
      <c r="M106" s="4" t="str">
        <f t="shared" si="6"/>
        <v>MAYBE</v>
      </c>
      <c r="N106" s="2">
        <f t="shared" si="7"/>
        <v>3109</v>
      </c>
      <c r="O106" s="4" t="b">
        <v>1</v>
      </c>
      <c r="P106" s="2">
        <v>7156</v>
      </c>
      <c r="Q106" s="4" t="s">
        <v>818</v>
      </c>
      <c r="R106" s="2">
        <v>6769</v>
      </c>
      <c r="S106" s="4" t="s">
        <v>833</v>
      </c>
      <c r="T106" s="2">
        <v>2117</v>
      </c>
      <c r="U106" s="66" t="s">
        <v>838</v>
      </c>
      <c r="V106" s="2">
        <v>2239</v>
      </c>
      <c r="W106" s="4" t="s">
        <v>822</v>
      </c>
      <c r="X106" s="2">
        <v>254</v>
      </c>
      <c r="Y106" s="4" t="s">
        <v>818</v>
      </c>
      <c r="Z106" s="2">
        <v>716</v>
      </c>
      <c r="AA106" s="4" t="s">
        <v>101</v>
      </c>
    </row>
    <row r="107" spans="1:28" x14ac:dyDescent="0.2">
      <c r="A107" s="103"/>
      <c r="B107" s="43" t="s">
        <v>848</v>
      </c>
      <c r="C107" s="4" t="s">
        <v>819</v>
      </c>
      <c r="D107" s="2">
        <v>477</v>
      </c>
      <c r="E107" s="4" t="s">
        <v>819</v>
      </c>
      <c r="F107" s="2">
        <v>472</v>
      </c>
      <c r="G107" s="4" t="s">
        <v>819</v>
      </c>
      <c r="H107" s="2">
        <v>467</v>
      </c>
      <c r="I107" s="4" t="s">
        <v>838</v>
      </c>
      <c r="J107" s="2">
        <v>2150</v>
      </c>
      <c r="K107" s="4" t="str">
        <f t="shared" si="4"/>
        <v>MAYBE</v>
      </c>
      <c r="L107" s="2">
        <f t="shared" si="5"/>
        <v>2622</v>
      </c>
      <c r="M107" s="4" t="str">
        <f t="shared" si="6"/>
        <v>MAYBE</v>
      </c>
      <c r="N107" s="2">
        <f t="shared" si="7"/>
        <v>3099</v>
      </c>
      <c r="O107" s="4" t="s">
        <v>883</v>
      </c>
      <c r="P107" s="2">
        <v>122537</v>
      </c>
      <c r="Q107" s="4" t="s">
        <v>819</v>
      </c>
      <c r="R107" s="2">
        <v>4269</v>
      </c>
      <c r="S107" s="4" t="s">
        <v>833</v>
      </c>
      <c r="T107" s="2">
        <v>2146</v>
      </c>
      <c r="U107" s="66" t="s">
        <v>838</v>
      </c>
      <c r="V107" s="2">
        <v>2211</v>
      </c>
      <c r="W107" s="4" t="s">
        <v>822</v>
      </c>
      <c r="X107" s="2">
        <v>261</v>
      </c>
      <c r="Y107" s="4" t="s">
        <v>818</v>
      </c>
      <c r="Z107" s="2">
        <v>573</v>
      </c>
      <c r="AA107" s="4" t="s">
        <v>101</v>
      </c>
    </row>
    <row r="108" spans="1:28" x14ac:dyDescent="0.2">
      <c r="A108" s="103"/>
      <c r="B108" s="43" t="s">
        <v>849</v>
      </c>
      <c r="C108" s="4" t="s">
        <v>819</v>
      </c>
      <c r="D108" s="2">
        <v>509</v>
      </c>
      <c r="E108" s="4" t="s">
        <v>819</v>
      </c>
      <c r="F108" s="2">
        <v>496</v>
      </c>
      <c r="G108" s="4" t="s">
        <v>819</v>
      </c>
      <c r="H108" s="2">
        <v>451</v>
      </c>
      <c r="I108" s="4" t="s">
        <v>838</v>
      </c>
      <c r="J108" s="2">
        <v>2143</v>
      </c>
      <c r="K108" s="4" t="str">
        <f t="shared" si="4"/>
        <v>MAYBE</v>
      </c>
      <c r="L108" s="2">
        <f t="shared" si="5"/>
        <v>2639</v>
      </c>
      <c r="M108" s="4" t="str">
        <f t="shared" si="6"/>
        <v>MAYBE</v>
      </c>
      <c r="N108" s="2">
        <f t="shared" si="7"/>
        <v>3148</v>
      </c>
      <c r="O108" s="4" t="b">
        <v>1</v>
      </c>
      <c r="P108" s="2">
        <v>1584</v>
      </c>
      <c r="Q108" s="4" t="s">
        <v>818</v>
      </c>
      <c r="R108" s="2">
        <v>2793</v>
      </c>
      <c r="S108" s="4" t="s">
        <v>833</v>
      </c>
      <c r="T108" s="2">
        <v>2139</v>
      </c>
      <c r="U108" s="66" t="s">
        <v>838</v>
      </c>
      <c r="V108" s="2">
        <v>2196</v>
      </c>
      <c r="W108" s="4" t="s">
        <v>822</v>
      </c>
      <c r="X108" s="2">
        <v>274</v>
      </c>
      <c r="Y108" s="4" t="s">
        <v>818</v>
      </c>
      <c r="Z108" s="2">
        <v>659</v>
      </c>
      <c r="AA108" s="4" t="s">
        <v>101</v>
      </c>
    </row>
    <row r="109" spans="1:28" x14ac:dyDescent="0.2">
      <c r="A109" s="103"/>
      <c r="B109" s="43" t="s">
        <v>60</v>
      </c>
      <c r="C109" s="4" t="s">
        <v>819</v>
      </c>
      <c r="D109" s="2">
        <v>1277</v>
      </c>
      <c r="E109" s="4" t="s">
        <v>819</v>
      </c>
      <c r="F109" s="2">
        <v>1329</v>
      </c>
      <c r="G109" s="4" t="s">
        <v>819</v>
      </c>
      <c r="H109" s="2">
        <v>1192</v>
      </c>
      <c r="I109" s="4" t="s">
        <v>833</v>
      </c>
      <c r="J109" s="2">
        <v>4070</v>
      </c>
      <c r="K109" s="4" t="str">
        <f t="shared" si="4"/>
        <v>MAYBE</v>
      </c>
      <c r="L109" s="2">
        <f t="shared" si="5"/>
        <v>5399</v>
      </c>
      <c r="M109" s="4" t="str">
        <f t="shared" si="6"/>
        <v>MAYBE</v>
      </c>
      <c r="N109" s="2">
        <f t="shared" si="7"/>
        <v>6676</v>
      </c>
      <c r="O109" s="4" t="s">
        <v>883</v>
      </c>
      <c r="P109" s="2">
        <v>122428</v>
      </c>
      <c r="Q109" s="79" t="s">
        <v>820</v>
      </c>
      <c r="R109" s="2">
        <v>4680</v>
      </c>
      <c r="S109" s="4" t="b">
        <v>0</v>
      </c>
      <c r="T109" s="2">
        <v>2558</v>
      </c>
      <c r="U109" s="66" t="s">
        <v>838</v>
      </c>
      <c r="V109" s="2">
        <v>3849</v>
      </c>
      <c r="W109" s="4" t="s">
        <v>876</v>
      </c>
      <c r="X109" s="2">
        <v>316</v>
      </c>
      <c r="Y109" s="4" t="s">
        <v>818</v>
      </c>
      <c r="Z109" s="2">
        <v>550</v>
      </c>
      <c r="AA109" s="4" t="s">
        <v>101</v>
      </c>
    </row>
    <row r="110" spans="1:28" x14ac:dyDescent="0.2">
      <c r="A110" s="103"/>
      <c r="B110" s="43" t="s">
        <v>61</v>
      </c>
      <c r="C110" s="4" t="s">
        <v>819</v>
      </c>
      <c r="D110" s="2">
        <v>1275</v>
      </c>
      <c r="E110" s="4" t="s">
        <v>819</v>
      </c>
      <c r="F110" s="2">
        <v>1361</v>
      </c>
      <c r="G110" s="4" t="s">
        <v>819</v>
      </c>
      <c r="H110" s="2">
        <v>1188</v>
      </c>
      <c r="I110" s="4" t="b">
        <v>1</v>
      </c>
      <c r="J110" s="2">
        <v>4078</v>
      </c>
      <c r="K110" s="4" t="str">
        <f t="shared" si="4"/>
        <v>MAYBE</v>
      </c>
      <c r="L110" s="2">
        <f t="shared" si="5"/>
        <v>5439</v>
      </c>
      <c r="M110" s="4" t="str">
        <f t="shared" si="6"/>
        <v>MAYBE</v>
      </c>
      <c r="N110" s="2">
        <f t="shared" si="7"/>
        <v>6714</v>
      </c>
      <c r="O110" s="4" t="b">
        <v>1</v>
      </c>
      <c r="P110" s="2">
        <v>1641</v>
      </c>
      <c r="Q110" s="4" t="s">
        <v>818</v>
      </c>
      <c r="R110" s="2">
        <v>2869</v>
      </c>
      <c r="S110" s="4" t="s">
        <v>833</v>
      </c>
      <c r="T110" s="2">
        <v>2983</v>
      </c>
      <c r="U110" s="4" t="b">
        <v>1</v>
      </c>
      <c r="V110" s="2">
        <v>4246</v>
      </c>
      <c r="W110" s="4" t="s">
        <v>876</v>
      </c>
      <c r="X110" s="2">
        <v>368</v>
      </c>
      <c r="Y110" s="4" t="s">
        <v>818</v>
      </c>
      <c r="Z110" s="2">
        <v>797</v>
      </c>
      <c r="AA110" s="4" t="s">
        <v>101</v>
      </c>
    </row>
    <row r="111" spans="1:28" x14ac:dyDescent="0.2">
      <c r="A111" s="103"/>
      <c r="B111" s="43" t="s">
        <v>850</v>
      </c>
      <c r="C111" s="4" t="s">
        <v>819</v>
      </c>
      <c r="D111" s="2">
        <v>475</v>
      </c>
      <c r="E111" s="4" t="s">
        <v>819</v>
      </c>
      <c r="F111" s="2">
        <v>492</v>
      </c>
      <c r="G111" s="4" t="s">
        <v>819</v>
      </c>
      <c r="H111" s="2">
        <v>452</v>
      </c>
      <c r="I111" s="4" t="s">
        <v>838</v>
      </c>
      <c r="J111" s="2">
        <v>2161</v>
      </c>
      <c r="K111" s="4" t="str">
        <f t="shared" si="4"/>
        <v>MAYBE</v>
      </c>
      <c r="L111" s="2">
        <f t="shared" si="5"/>
        <v>2653</v>
      </c>
      <c r="M111" s="4" t="str">
        <f t="shared" si="6"/>
        <v>MAYBE</v>
      </c>
      <c r="N111" s="2">
        <f t="shared" si="7"/>
        <v>3128</v>
      </c>
      <c r="O111" s="4" t="s">
        <v>883</v>
      </c>
      <c r="P111" s="2">
        <v>122828</v>
      </c>
      <c r="Q111" s="4" t="s">
        <v>819</v>
      </c>
      <c r="R111" s="2">
        <v>2696</v>
      </c>
      <c r="S111" s="4" t="s">
        <v>833</v>
      </c>
      <c r="T111" s="2">
        <v>2144</v>
      </c>
      <c r="U111" s="66" t="s">
        <v>838</v>
      </c>
      <c r="V111" s="2">
        <v>2150</v>
      </c>
      <c r="W111" s="4" t="s">
        <v>822</v>
      </c>
      <c r="X111" s="2">
        <v>267</v>
      </c>
      <c r="Y111" s="4" t="s">
        <v>818</v>
      </c>
      <c r="Z111" s="2">
        <v>926</v>
      </c>
      <c r="AA111" s="4" t="s">
        <v>101</v>
      </c>
    </row>
    <row r="112" spans="1:28" x14ac:dyDescent="0.2">
      <c r="A112" s="103"/>
      <c r="B112" s="43" t="s">
        <v>851</v>
      </c>
      <c r="C112" s="4" t="s">
        <v>819</v>
      </c>
      <c r="D112" s="2">
        <v>484</v>
      </c>
      <c r="E112" s="4" t="s">
        <v>819</v>
      </c>
      <c r="F112" s="2">
        <v>482</v>
      </c>
      <c r="G112" s="4" t="s">
        <v>819</v>
      </c>
      <c r="H112" s="2">
        <v>457</v>
      </c>
      <c r="I112" s="4" t="s">
        <v>838</v>
      </c>
      <c r="J112" s="2">
        <v>2154</v>
      </c>
      <c r="K112" s="4" t="str">
        <f t="shared" si="4"/>
        <v>MAYBE</v>
      </c>
      <c r="L112" s="2">
        <f t="shared" si="5"/>
        <v>2636</v>
      </c>
      <c r="M112" s="4" t="str">
        <f t="shared" si="6"/>
        <v>MAYBE</v>
      </c>
      <c r="N112" s="2">
        <f t="shared" si="7"/>
        <v>3120</v>
      </c>
      <c r="O112" s="4" t="b">
        <v>1</v>
      </c>
      <c r="P112" s="2">
        <v>1619</v>
      </c>
      <c r="Q112" s="4" t="s">
        <v>819</v>
      </c>
      <c r="R112" s="2">
        <v>2668</v>
      </c>
      <c r="S112" s="4" t="s">
        <v>833</v>
      </c>
      <c r="T112" s="2">
        <v>2136</v>
      </c>
      <c r="U112" s="66" t="s">
        <v>838</v>
      </c>
      <c r="V112" s="2">
        <v>2180</v>
      </c>
      <c r="W112" s="4" t="s">
        <v>822</v>
      </c>
      <c r="X112" s="2">
        <v>252</v>
      </c>
      <c r="Y112" s="4" t="s">
        <v>818</v>
      </c>
      <c r="Z112" s="2">
        <v>625</v>
      </c>
      <c r="AA112" s="4" t="s">
        <v>101</v>
      </c>
    </row>
    <row r="113" spans="1:27" x14ac:dyDescent="0.2">
      <c r="A113" s="103"/>
      <c r="B113" s="43" t="s">
        <v>852</v>
      </c>
      <c r="C113" s="4" t="s">
        <v>819</v>
      </c>
      <c r="D113" s="2">
        <v>491</v>
      </c>
      <c r="E113" s="4" t="s">
        <v>819</v>
      </c>
      <c r="F113" s="2">
        <v>473</v>
      </c>
      <c r="G113" s="4" t="s">
        <v>819</v>
      </c>
      <c r="H113" s="2">
        <v>439</v>
      </c>
      <c r="I113" s="4" t="s">
        <v>838</v>
      </c>
      <c r="J113" s="2">
        <v>2174</v>
      </c>
      <c r="K113" s="4" t="str">
        <f t="shared" si="4"/>
        <v>MAYBE</v>
      </c>
      <c r="L113" s="2">
        <f t="shared" si="5"/>
        <v>2647</v>
      </c>
      <c r="M113" s="4" t="str">
        <f t="shared" si="6"/>
        <v>MAYBE</v>
      </c>
      <c r="N113" s="2">
        <f t="shared" si="7"/>
        <v>3138</v>
      </c>
      <c r="O113" s="4" t="b">
        <v>1</v>
      </c>
      <c r="P113" s="2">
        <v>1512</v>
      </c>
      <c r="Q113" s="4" t="s">
        <v>819</v>
      </c>
      <c r="R113" s="2">
        <v>4367</v>
      </c>
      <c r="S113" s="4" t="s">
        <v>833</v>
      </c>
      <c r="T113" s="2">
        <v>2146</v>
      </c>
      <c r="U113" s="66" t="s">
        <v>838</v>
      </c>
      <c r="V113" s="2">
        <v>2191</v>
      </c>
      <c r="W113" s="4" t="s">
        <v>822</v>
      </c>
      <c r="X113" s="2">
        <v>239</v>
      </c>
      <c r="Y113" s="4" t="s">
        <v>818</v>
      </c>
      <c r="Z113" s="2">
        <v>630</v>
      </c>
      <c r="AA113" s="4" t="s">
        <v>101</v>
      </c>
    </row>
    <row r="114" spans="1:27" x14ac:dyDescent="0.2">
      <c r="A114" s="103"/>
      <c r="B114" s="43" t="s">
        <v>853</v>
      </c>
      <c r="C114" s="4" t="s">
        <v>819</v>
      </c>
      <c r="D114" s="2">
        <v>457</v>
      </c>
      <c r="E114" s="4" t="s">
        <v>819</v>
      </c>
      <c r="F114" s="2">
        <v>490</v>
      </c>
      <c r="G114" s="4" t="s">
        <v>819</v>
      </c>
      <c r="H114" s="2">
        <v>444</v>
      </c>
      <c r="I114" s="4" t="s">
        <v>838</v>
      </c>
      <c r="J114" s="2">
        <v>2124</v>
      </c>
      <c r="K114" s="4" t="str">
        <f t="shared" si="4"/>
        <v>MAYBE</v>
      </c>
      <c r="L114" s="2">
        <f t="shared" si="5"/>
        <v>2614</v>
      </c>
      <c r="M114" s="4" t="str">
        <f t="shared" si="6"/>
        <v>MAYBE</v>
      </c>
      <c r="N114" s="2">
        <f t="shared" si="7"/>
        <v>3071</v>
      </c>
      <c r="O114" s="4" t="b">
        <v>1</v>
      </c>
      <c r="P114" s="2">
        <v>1502</v>
      </c>
      <c r="Q114" s="4" t="s">
        <v>818</v>
      </c>
      <c r="R114" s="2">
        <v>2681</v>
      </c>
      <c r="S114" s="4" t="s">
        <v>833</v>
      </c>
      <c r="T114" s="2">
        <v>2164</v>
      </c>
      <c r="U114" s="66" t="s">
        <v>838</v>
      </c>
      <c r="V114" s="2">
        <v>2193</v>
      </c>
      <c r="W114" s="4" t="s">
        <v>822</v>
      </c>
      <c r="X114" s="2">
        <v>242</v>
      </c>
      <c r="Y114" s="4" t="s">
        <v>818</v>
      </c>
      <c r="Z114" s="2">
        <v>693</v>
      </c>
      <c r="AA114" s="4" t="s">
        <v>101</v>
      </c>
    </row>
    <row r="115" spans="1:27" x14ac:dyDescent="0.2">
      <c r="A115" s="103"/>
      <c r="B115" s="43" t="s">
        <v>854</v>
      </c>
      <c r="C115" s="4" t="s">
        <v>819</v>
      </c>
      <c r="D115" s="2">
        <v>467</v>
      </c>
      <c r="E115" s="4" t="s">
        <v>819</v>
      </c>
      <c r="F115" s="2">
        <v>477</v>
      </c>
      <c r="G115" s="4" t="s">
        <v>819</v>
      </c>
      <c r="H115" s="2">
        <v>455</v>
      </c>
      <c r="I115" s="4" t="s">
        <v>838</v>
      </c>
      <c r="J115" s="2">
        <v>2138</v>
      </c>
      <c r="K115" s="4" t="str">
        <f t="shared" si="4"/>
        <v>MAYBE</v>
      </c>
      <c r="L115" s="2">
        <f t="shared" si="5"/>
        <v>2615</v>
      </c>
      <c r="M115" s="4" t="str">
        <f t="shared" si="6"/>
        <v>MAYBE</v>
      </c>
      <c r="N115" s="2">
        <f t="shared" si="7"/>
        <v>3082</v>
      </c>
      <c r="O115" s="4" t="s">
        <v>883</v>
      </c>
      <c r="P115" s="2">
        <v>1973</v>
      </c>
      <c r="Q115" s="4" t="s">
        <v>819</v>
      </c>
      <c r="R115" s="2">
        <v>2150</v>
      </c>
      <c r="S115" s="4" t="s">
        <v>833</v>
      </c>
      <c r="T115" s="2">
        <v>2153</v>
      </c>
      <c r="U115" s="66" t="s">
        <v>838</v>
      </c>
      <c r="V115" s="2">
        <v>2142</v>
      </c>
      <c r="W115" s="4" t="s">
        <v>822</v>
      </c>
      <c r="X115" s="2">
        <v>228</v>
      </c>
      <c r="Y115" s="4" t="s">
        <v>818</v>
      </c>
      <c r="Z115" s="2">
        <v>757</v>
      </c>
      <c r="AA115" s="4" t="s">
        <v>101</v>
      </c>
    </row>
    <row r="116" spans="1:27" x14ac:dyDescent="0.2">
      <c r="A116" s="103"/>
      <c r="B116" s="43" t="s">
        <v>855</v>
      </c>
      <c r="C116" s="4" t="s">
        <v>819</v>
      </c>
      <c r="D116" s="2">
        <v>460</v>
      </c>
      <c r="E116" s="4" t="s">
        <v>819</v>
      </c>
      <c r="F116" s="2">
        <v>504</v>
      </c>
      <c r="G116" s="4" t="s">
        <v>819</v>
      </c>
      <c r="H116" s="2">
        <v>423</v>
      </c>
      <c r="I116" s="4" t="s">
        <v>838</v>
      </c>
      <c r="J116" s="2">
        <v>2153</v>
      </c>
      <c r="K116" s="4" t="str">
        <f t="shared" si="4"/>
        <v>MAYBE</v>
      </c>
      <c r="L116" s="2">
        <f t="shared" si="5"/>
        <v>2657</v>
      </c>
      <c r="M116" s="4" t="str">
        <f t="shared" si="6"/>
        <v>MAYBE</v>
      </c>
      <c r="N116" s="2">
        <f t="shared" si="7"/>
        <v>3117</v>
      </c>
      <c r="O116" s="4" t="s">
        <v>883</v>
      </c>
      <c r="P116" s="2">
        <v>1922</v>
      </c>
      <c r="Q116" s="4" t="s">
        <v>819</v>
      </c>
      <c r="R116" s="2">
        <v>2205</v>
      </c>
      <c r="S116" s="4" t="s">
        <v>833</v>
      </c>
      <c r="T116" s="2">
        <v>2152</v>
      </c>
      <c r="U116" s="66" t="s">
        <v>838</v>
      </c>
      <c r="V116" s="2">
        <v>2181</v>
      </c>
      <c r="W116" s="4" t="s">
        <v>822</v>
      </c>
      <c r="X116" s="2">
        <v>250</v>
      </c>
      <c r="Y116" s="4" t="s">
        <v>818</v>
      </c>
      <c r="Z116" s="2">
        <v>635</v>
      </c>
      <c r="AA116" s="4" t="s">
        <v>101</v>
      </c>
    </row>
    <row r="117" spans="1:27" x14ac:dyDescent="0.2">
      <c r="A117" s="103"/>
      <c r="B117" s="43" t="s">
        <v>856</v>
      </c>
      <c r="C117" s="4" t="s">
        <v>819</v>
      </c>
      <c r="D117" s="2">
        <v>475</v>
      </c>
      <c r="E117" s="4" t="s">
        <v>819</v>
      </c>
      <c r="F117" s="2">
        <v>472</v>
      </c>
      <c r="G117" s="4" t="s">
        <v>819</v>
      </c>
      <c r="H117" s="2">
        <v>445</v>
      </c>
      <c r="I117" s="4" t="s">
        <v>838</v>
      </c>
      <c r="J117" s="2">
        <v>2147</v>
      </c>
      <c r="K117" s="4" t="str">
        <f t="shared" si="4"/>
        <v>MAYBE</v>
      </c>
      <c r="L117" s="2">
        <f t="shared" si="5"/>
        <v>2619</v>
      </c>
      <c r="M117" s="4" t="str">
        <f t="shared" si="6"/>
        <v>MAYBE</v>
      </c>
      <c r="N117" s="2">
        <f t="shared" si="7"/>
        <v>3094</v>
      </c>
      <c r="O117" s="4" t="s">
        <v>883</v>
      </c>
      <c r="P117" s="2">
        <v>122440</v>
      </c>
      <c r="Q117" s="4" t="s">
        <v>819</v>
      </c>
      <c r="R117" s="2">
        <v>2254</v>
      </c>
      <c r="S117" s="4" t="s">
        <v>833</v>
      </c>
      <c r="T117" s="2">
        <v>2144</v>
      </c>
      <c r="U117" s="66" t="s">
        <v>838</v>
      </c>
      <c r="V117" s="2">
        <v>2176</v>
      </c>
      <c r="W117" s="4" t="s">
        <v>822</v>
      </c>
      <c r="X117" s="2">
        <v>249</v>
      </c>
      <c r="Y117" s="4" t="s">
        <v>818</v>
      </c>
      <c r="Z117" s="2">
        <v>548</v>
      </c>
      <c r="AA117" s="4" t="s">
        <v>101</v>
      </c>
    </row>
    <row r="118" spans="1:27" x14ac:dyDescent="0.2">
      <c r="A118" s="103"/>
      <c r="B118" s="43" t="s">
        <v>857</v>
      </c>
      <c r="C118" s="4" t="s">
        <v>819</v>
      </c>
      <c r="D118" s="2">
        <v>474</v>
      </c>
      <c r="E118" s="4" t="s">
        <v>819</v>
      </c>
      <c r="F118" s="2">
        <v>518</v>
      </c>
      <c r="G118" s="4" t="s">
        <v>819</v>
      </c>
      <c r="H118" s="2">
        <v>442</v>
      </c>
      <c r="I118" s="4" t="s">
        <v>838</v>
      </c>
      <c r="J118" s="2">
        <v>2132</v>
      </c>
      <c r="K118" s="4" t="str">
        <f t="shared" si="4"/>
        <v>MAYBE</v>
      </c>
      <c r="L118" s="2">
        <f t="shared" si="5"/>
        <v>2650</v>
      </c>
      <c r="M118" s="4" t="str">
        <f t="shared" si="6"/>
        <v>MAYBE</v>
      </c>
      <c r="N118" s="2">
        <f t="shared" si="7"/>
        <v>3124</v>
      </c>
      <c r="O118" s="4" t="b">
        <v>1</v>
      </c>
      <c r="P118" s="2">
        <v>1797</v>
      </c>
      <c r="Q118" s="4" t="s">
        <v>819</v>
      </c>
      <c r="R118" s="2">
        <v>2219</v>
      </c>
      <c r="S118" s="4" t="s">
        <v>833</v>
      </c>
      <c r="T118" s="2">
        <v>2128</v>
      </c>
      <c r="U118" s="66" t="s">
        <v>838</v>
      </c>
      <c r="V118" s="2">
        <v>2176</v>
      </c>
      <c r="W118" s="4" t="s">
        <v>822</v>
      </c>
      <c r="X118" s="2">
        <v>245</v>
      </c>
      <c r="Y118" s="4" t="s">
        <v>818</v>
      </c>
      <c r="Z118" s="2">
        <v>716</v>
      </c>
      <c r="AA118" s="4" t="s">
        <v>101</v>
      </c>
    </row>
    <row r="119" spans="1:27" ht="20" customHeight="1" x14ac:dyDescent="0.2"/>
  </sheetData>
  <sortState xmlns:xlrd2="http://schemas.microsoft.com/office/spreadsheetml/2017/richdata2" ref="B95:B118">
    <sortCondition ref="B95:B118"/>
  </sortState>
  <mergeCells count="14">
    <mergeCell ref="Y1:Z1"/>
    <mergeCell ref="K1:L1"/>
    <mergeCell ref="M1:N1"/>
    <mergeCell ref="G1:H1"/>
    <mergeCell ref="A95:A118"/>
    <mergeCell ref="A2:A94"/>
    <mergeCell ref="C1:D1"/>
    <mergeCell ref="E1:F1"/>
    <mergeCell ref="I1:J1"/>
    <mergeCell ref="U1:V1"/>
    <mergeCell ref="W1:X1"/>
    <mergeCell ref="S1:T1"/>
    <mergeCell ref="O1:P1"/>
    <mergeCell ref="Q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80CA-15A3-2A4D-836A-B57BFE72296C}">
  <dimension ref="B1:AM125"/>
  <sheetViews>
    <sheetView zoomScale="80" zoomScaleNormal="80" workbookViewId="0"/>
  </sheetViews>
  <sheetFormatPr baseColWidth="10" defaultColWidth="10.83203125" defaultRowHeight="20" x14ac:dyDescent="0.2"/>
  <cols>
    <col min="1" max="1" width="3.5" style="2" customWidth="1"/>
    <col min="2" max="18" width="15.83203125" style="2" customWidth="1"/>
    <col min="19" max="19" width="16.33203125" style="2" customWidth="1"/>
    <col min="20" max="23" width="15.83203125" style="2" customWidth="1"/>
    <col min="24" max="24" width="15.6640625" style="2" customWidth="1"/>
    <col min="25" max="36" width="15.83203125" style="2" customWidth="1"/>
    <col min="37" max="39" width="15.6640625" style="2" customWidth="1"/>
    <col min="40" max="16384" width="10.83203125" style="2"/>
  </cols>
  <sheetData>
    <row r="1" spans="2:39" ht="21" thickBot="1" x14ac:dyDescent="0.25"/>
    <row r="2" spans="2:39" ht="21" thickBot="1" x14ac:dyDescent="0.25">
      <c r="B2" s="40" t="s">
        <v>834</v>
      </c>
      <c r="C2" s="60" t="s">
        <v>828</v>
      </c>
      <c r="D2" s="35" t="s">
        <v>827</v>
      </c>
      <c r="E2" s="35" t="s">
        <v>843</v>
      </c>
      <c r="F2" s="90"/>
      <c r="G2" s="90"/>
      <c r="K2" s="90"/>
      <c r="L2" s="90"/>
      <c r="R2" s="40" t="s">
        <v>834</v>
      </c>
      <c r="S2" s="60" t="s">
        <v>828</v>
      </c>
      <c r="T2" s="35" t="s">
        <v>843</v>
      </c>
      <c r="AK2" s="41"/>
    </row>
    <row r="3" spans="2:39" x14ac:dyDescent="0.25">
      <c r="B3" s="21" t="s">
        <v>826</v>
      </c>
      <c r="C3" s="32" t="s">
        <v>825</v>
      </c>
      <c r="D3" s="82">
        <f>(COUNTIFS(TermCOMP!S:S,"", TermCOMP!C:C, "YES", TermCOMP!D:D, "YES") + COUNTIFS(TermCOMP!S:S,"", TermCOMP!C:C, "NO", TermCOMP!D:D, "NO")) / (828 - COUNTIF(TermCOMP!S:S,"unsafe"))</f>
        <v>0.76279650436953805</v>
      </c>
      <c r="E3" s="33">
        <f>(COUNTIFS(FSE!AB:AB,"", FSE!B:B, "*_T.c", FSE!M:M, "YES") + COUNTIFS(FSE!AB:AB,"", FSE!B:B, "*_NT.c", FSE!M:M, "NO")) / (117 - COUNTIF(FSE!AB:AB,"unsafe"))</f>
        <v>0.60952380952380958</v>
      </c>
      <c r="H3" s="41"/>
      <c r="R3" s="21" t="s">
        <v>865</v>
      </c>
      <c r="S3" s="32" t="s">
        <v>825</v>
      </c>
      <c r="T3" s="33">
        <f>(COUNTIFS(FSE!AB:AB,"", FSE!B:B, "*_T.c", FSE!C:C, "YES") + COUNTIFS(FSE!AB:AB,"", FSE!B:B, "*_NT.c", FSE!C:C, "NO")) / (117 - COUNTIF(FSE!AB:AB,"unsafe"))</f>
        <v>0.55238095238095242</v>
      </c>
      <c r="V3" s="41"/>
      <c r="AK3" s="41"/>
      <c r="AL3" s="46"/>
      <c r="AM3" s="41"/>
    </row>
    <row r="4" spans="2:39" x14ac:dyDescent="0.2">
      <c r="B4" s="22"/>
      <c r="C4" s="32" t="s">
        <v>824</v>
      </c>
      <c r="D4" s="33">
        <f>(COUNTIFS(TermCOMP!S:S,"", TermCOMP!C:C, "YES", TermCOMP!D:D, "NO") + COUNTIFS(TermCOMP!S:S,"", TermCOMP!C:C, "NO", TermCOMP!D:D, "YES")) / (828 - COUNTIF(TermCOMP!S:S,"unsafe"))</f>
        <v>0</v>
      </c>
      <c r="E4" s="33">
        <f>(COUNTIFS(FSE!AB:AB,"", FSE!B:B, "*_T.c", FSE!M:M, "NO") + COUNTIFS(FSE!AB:AB,"", FSE!B:B, "*_NT.c", FSE!M:M, "YES") ) / (117 - COUNTIF(FSE!AB:AB,"unsafe"))</f>
        <v>0</v>
      </c>
      <c r="G4" s="41"/>
      <c r="H4" s="41"/>
      <c r="L4" s="41"/>
      <c r="R4" s="22"/>
      <c r="S4" s="32" t="s">
        <v>824</v>
      </c>
      <c r="T4" s="33">
        <f>(COUNTIFS(FSE!AB:AB,"", FSE!B:B, "*_T.c", FSE!C:C, "NO") + COUNTIFS(FSE!AB:AB,"", FSE!B:B, "*_NT.c", FSE!C:C, "YES") ) / (117 - COUNTIF(FSE!AB:AB,"unsafe"))</f>
        <v>0</v>
      </c>
      <c r="V4" s="41"/>
      <c r="AK4" s="41"/>
      <c r="AL4" s="41"/>
      <c r="AM4" s="41"/>
    </row>
    <row r="5" spans="2:39" x14ac:dyDescent="0.2">
      <c r="B5" s="22"/>
      <c r="C5" s="32" t="s">
        <v>823</v>
      </c>
      <c r="D5" s="33">
        <f>COUNTIFS(TermCOMP!S:S,"", TermCOMP!D:D, "MAYBE") / (828 - COUNTIF(TermCOMP!S:S,"unsafe"))</f>
        <v>0.12234706616729088</v>
      </c>
      <c r="E5" s="33">
        <f>COUNTIFS(FSE!AB:AB,"", FSE!M:M, "MAYBE") / (117 - COUNTIF(FSE!AB:AB,"unsafe"))</f>
        <v>0.22857142857142856</v>
      </c>
      <c r="G5" s="41"/>
      <c r="H5" s="41"/>
      <c r="L5" s="41"/>
      <c r="R5" s="22"/>
      <c r="S5" s="32" t="s">
        <v>823</v>
      </c>
      <c r="T5" s="33">
        <f>COUNTIFS(FSE!AB:AB,"", FSE!C:C, "MAYBE") / (117 - COUNTIF(FSE!AB:AB,"unsafe"))</f>
        <v>0.22857142857142856</v>
      </c>
      <c r="V5" s="41"/>
      <c r="AK5" s="41"/>
      <c r="AL5" s="41"/>
      <c r="AM5" s="41"/>
    </row>
    <row r="6" spans="2:39" x14ac:dyDescent="0.2">
      <c r="B6" s="22"/>
      <c r="C6" s="32" t="s">
        <v>821</v>
      </c>
      <c r="D6" s="33">
        <f>COUNTIFS(TermCOMP!S:S,"", TermCOMP!D:D, "TIMEOUT") / (828 - COUNTIF(TermCOMP!S:S,"unsafe"))</f>
        <v>0.10986267166042447</v>
      </c>
      <c r="E6" s="33">
        <f>COUNTIFS(FSE!AB:AB,"", FSE!M:M, "TIMEOUT") / (117 - COUNTIF(FSE!AB:AB,"unsafe"))</f>
        <v>0.16190476190476191</v>
      </c>
      <c r="G6" s="41"/>
      <c r="H6" s="41"/>
      <c r="L6" s="41"/>
      <c r="R6" s="22"/>
      <c r="S6" s="32" t="s">
        <v>821</v>
      </c>
      <c r="T6" s="33">
        <f>COUNTIFS(FSE!AB:AB,"", FSE!C:C, "TIMEOUT") / (117 - COUNTIF(FSE!AB:AB,"unsafe"))</f>
        <v>0.21904761904761905</v>
      </c>
      <c r="V6" s="41"/>
      <c r="AK6" s="41"/>
      <c r="AL6" s="41"/>
      <c r="AM6" s="41"/>
    </row>
    <row r="7" spans="2:39" ht="21" thickBot="1" x14ac:dyDescent="0.25">
      <c r="B7" s="23"/>
      <c r="C7" s="6" t="s">
        <v>822</v>
      </c>
      <c r="D7" s="36">
        <f>(COUNTIFS(TermCOMP!S:S,"", TermCOMP!D:D, "ERROR") + COUNTIFS(TermCOMP!S:S,"", TermCOMP!D:D, "OOM ERROR")) / (828 - COUNTIF(TermCOMP!S:S,"unsafe"))</f>
        <v>4.9937578027465668E-3</v>
      </c>
      <c r="E7" s="36">
        <f>(COUNTIFS(FSE!AB:AB,"", FSE!M:M, "ERROR") + COUNTIFS(FSE!AB:AB,"", FSE!M:M, "OOM ERROR")) / (117 - COUNTIF(FSE!AB:AB,"unsafe"))</f>
        <v>0</v>
      </c>
      <c r="G7" s="41"/>
      <c r="H7" s="41"/>
      <c r="L7" s="41"/>
      <c r="R7" s="22"/>
      <c r="S7" s="2" t="s">
        <v>875</v>
      </c>
      <c r="T7" s="33">
        <f>COUNTIFS(FSE!AB:AB,"", FSE!C:C, "ERROR") / (117 - COUNTIF(FSE!AB:AB,"unsafe"))</f>
        <v>0</v>
      </c>
      <c r="V7" s="41"/>
      <c r="AL7" s="41"/>
      <c r="AM7" s="41"/>
    </row>
    <row r="8" spans="2:39" ht="21" thickBot="1" x14ac:dyDescent="0.3">
      <c r="B8" s="22" t="s">
        <v>885</v>
      </c>
      <c r="C8" s="32" t="s">
        <v>825</v>
      </c>
      <c r="D8" s="82">
        <f>(COUNTIFS(TermCOMP!S:S,"", TermCOMP!C:C, "YES", TermCOMP!F:F, "TRUE") + COUNTIFS(TermCOMP!S:S,"", TermCOMP!C:C, "NO", TermCOMP!F:F, "FALSE")) / (828 - COUNTIF(TermCOMP!S:S,"unsafe"))</f>
        <v>0.75905118601747812</v>
      </c>
      <c r="E8" s="33">
        <f>(COUNTIFS(FSE!AB:AB,"", FSE!B:B, "*_T.c", FSE!O:O, "TRUE") + COUNTIFS(FSE!AB:AB,"", FSE!B:B, "*_NT.c", FSE!O:O, "FALSE")) / (117 - COUNTIF(FSE!AB:AB,"unsafe"))</f>
        <v>0.66666666666666663</v>
      </c>
      <c r="G8" s="41"/>
      <c r="L8" s="41"/>
      <c r="R8" s="23"/>
      <c r="S8" s="6" t="s">
        <v>822</v>
      </c>
      <c r="T8" s="36">
        <f>COUNTIFS(FSE!AB:AB,"", FSE!C:C, "OOM ERROR") / (117 - COUNTIF(FSE!AB:AB,"unsafe"))</f>
        <v>0</v>
      </c>
      <c r="V8" s="41"/>
      <c r="AK8" s="41"/>
      <c r="AL8" s="46"/>
      <c r="AM8" s="41"/>
    </row>
    <row r="9" spans="2:39" x14ac:dyDescent="0.2">
      <c r="B9" s="22"/>
      <c r="C9" s="32" t="s">
        <v>824</v>
      </c>
      <c r="D9" s="33">
        <f>(COUNTIFS(TermCOMP!S:S,"", TermCOMP!C:C, "YES", TermCOMP!F:F, "FALSE") + COUNTIFS(TermCOMP!S:S,"", TermCOMP!C:C, "NO", TermCOMP!F:F, "TRUE")) / (828 - COUNTIF(TermCOMP!S:S,"unsafe"))</f>
        <v>7.365792759051186E-2</v>
      </c>
      <c r="E9" s="33">
        <f>(COUNTIFS(FSE!AB:AB,"", FSE!B:B, "*_T.c", FSE!O:O, "FALSE") + COUNTIFS(FSE!AB:AB,"", FSE!B:B, "*_NT.c", FSE!O:O, "TRUE")) / (117 - COUNTIF(FSE!AB:AB,"unsafe"))</f>
        <v>8.5714285714285715E-2</v>
      </c>
      <c r="G9" s="41"/>
      <c r="H9" s="41"/>
      <c r="L9" s="41"/>
      <c r="R9" s="21" t="s">
        <v>866</v>
      </c>
      <c r="S9" s="32" t="s">
        <v>825</v>
      </c>
      <c r="T9" s="33">
        <f>(COUNTIFS(FSE!AB:AB,"", FSE!B:B, "*_T.c", FSE!K:K, "YES") + COUNTIFS(FSE!AB:AB,"", FSE!B:B, "*_NT.c", FSE!K:K, "NO")) / (117 - COUNTIF(FSE!AB:AB,"unsafe"))</f>
        <v>0.44761904761904764</v>
      </c>
      <c r="V9" s="41"/>
      <c r="AK9" s="41"/>
      <c r="AL9" s="47"/>
      <c r="AM9" s="41"/>
    </row>
    <row r="10" spans="2:39" x14ac:dyDescent="0.2">
      <c r="B10" s="22"/>
      <c r="C10" s="32" t="s">
        <v>823</v>
      </c>
      <c r="D10" s="33">
        <f>COUNTIFS(TermCOMP!S:S,"", TermCOMP!F:F, "INCONCLUSIVE") / (828 - COUNTIF(TermCOMP!S:S,"unsafe"))</f>
        <v>0.16479400749063669</v>
      </c>
      <c r="E10" s="33">
        <f>COUNTIFS(FSE!AB:AB,"", FSE!O:O, "INCONCLUSIVE") / (117 - COUNTIF(FSE!AB:AB,"unsafe"))</f>
        <v>0.24761904761904763</v>
      </c>
      <c r="G10" s="41"/>
      <c r="H10" s="41"/>
      <c r="L10" s="41"/>
      <c r="R10" s="22"/>
      <c r="S10" s="32" t="s">
        <v>824</v>
      </c>
      <c r="T10" s="33">
        <f>(COUNTIFS(FSE!AB:AB,"", FSE!B:B, "*_T.c", FSE!K:K, "NO") + COUNTIFS(FSE!AB:AB,"", FSE!B:B, "*_NT.c", FSE!K:K, "YES") ) / (117 - COUNTIF(FSE!AB:AB,"unsafe"))</f>
        <v>0</v>
      </c>
      <c r="V10" s="41"/>
      <c r="AK10" s="41"/>
      <c r="AL10" s="47"/>
      <c r="AM10" s="41"/>
    </row>
    <row r="11" spans="2:39" x14ac:dyDescent="0.2">
      <c r="B11" s="22"/>
      <c r="C11" s="32" t="s">
        <v>821</v>
      </c>
      <c r="D11" s="33">
        <f>COUNTIFS(TermCOMP!S:S,"", TermCOMP!F:F, "Terminated") / (828 - COUNTIF(TermCOMP!S:S,"unsafe"))</f>
        <v>0</v>
      </c>
      <c r="E11" s="33">
        <f>COUNTIFS(FSE!AB:AB,"", FSE!O:O, "Terminated") / (117 - COUNTIF(FSE!AB:AB,"unsafe"))</f>
        <v>0</v>
      </c>
      <c r="G11" s="41"/>
      <c r="H11" s="41"/>
      <c r="L11" s="41"/>
      <c r="R11" s="22"/>
      <c r="S11" s="32" t="s">
        <v>823</v>
      </c>
      <c r="T11" s="33">
        <f>COUNTIFS(FSE!AB:AB,"", FSE!K:K, "MAYBE") / (117 - COUNTIF(FSE!AB:AB,"unsafe"))</f>
        <v>0.22857142857142856</v>
      </c>
      <c r="V11" s="41"/>
      <c r="AK11" s="41"/>
      <c r="AL11" s="47"/>
      <c r="AM11" s="41"/>
    </row>
    <row r="12" spans="2:39" ht="21" thickBot="1" x14ac:dyDescent="0.25">
      <c r="B12" s="23"/>
      <c r="C12" s="6" t="s">
        <v>822</v>
      </c>
      <c r="D12" s="36">
        <f>COUNTIFS(TermCOMP!S:S,"", TermCOMP!F:F, "INTERNAL-ERROR") / (828 - COUNTIF(TermCOMP!S:S,"unsafe"))</f>
        <v>1.2484394506866417E-3</v>
      </c>
      <c r="E12" s="36">
        <f>COUNTIFS(FSE!AB:AB,"", FSE!O:O, "INTERNAL-ERROR") / (117 - COUNTIF(FSE!AB:AB,"unsafe"))</f>
        <v>0</v>
      </c>
      <c r="G12" s="41"/>
      <c r="H12" s="41"/>
      <c r="L12" s="41"/>
      <c r="R12" s="22"/>
      <c r="S12" s="41" t="s">
        <v>821</v>
      </c>
      <c r="T12" s="33">
        <f>COUNTIFS(FSE!AB:AB,"", FSE!K:K, "TIMEOUT") / (117 - COUNTIF(FSE!AB:AB,"unsafe"))</f>
        <v>0.23809523809523808</v>
      </c>
      <c r="V12" s="41"/>
      <c r="AL12" s="47"/>
      <c r="AM12" s="41"/>
    </row>
    <row r="13" spans="2:39" x14ac:dyDescent="0.25">
      <c r="B13" s="22" t="s">
        <v>633</v>
      </c>
      <c r="C13" s="32" t="s">
        <v>825</v>
      </c>
      <c r="D13" s="82">
        <f>(COUNTIFS(TermCOMP!S:S,"", TermCOMP!C:C, "YES", TermCOMP!H:H, "YES") + COUNTIFS(TermCOMP!S:S,"", TermCOMP!C:C, "NO", TermCOMP!H:H, "NO")) / (828 - COUNTIF(TermCOMP!S:S,"unsafe"))</f>
        <v>0.72908863920099876</v>
      </c>
      <c r="E13" s="33">
        <f>(COUNTIFS(FSE!AB:AB,"", FSE!B:B, "*_T.c", FSE!Q:Q, "YES") + COUNTIFS(FSE!AB:AB,"", FSE!B:B, "*_NT.c", FSE!Q:Q, "NO")) / (117 - COUNTIF(FSE!AB:AB,"unsafe"))</f>
        <v>0.35238095238095241</v>
      </c>
      <c r="G13" s="41"/>
      <c r="L13" s="41"/>
      <c r="R13" s="22"/>
      <c r="S13" s="2" t="s">
        <v>875</v>
      </c>
      <c r="T13" s="33">
        <f>COUNTIFS(FSE!AB:AB,"", FSE!K:K, "ERROR") / (117 - COUNTIF(FSE!AB:AB,"unsafe"))</f>
        <v>7.6190476190476197E-2</v>
      </c>
      <c r="V13" s="41"/>
      <c r="AK13" s="41"/>
      <c r="AL13" s="46"/>
      <c r="AM13" s="41"/>
    </row>
    <row r="14" spans="2:39" ht="21" thickBot="1" x14ac:dyDescent="0.25">
      <c r="B14" s="22"/>
      <c r="C14" s="32" t="s">
        <v>824</v>
      </c>
      <c r="D14" s="33">
        <f>(COUNTIFS(TermCOMP!S:S,"", TermCOMP!C:C, "YES", TermCOMP!H:H, "NO") + COUNTIFS(TermCOMP!S:S,"", TermCOMP!C:C, "NO", TermCOMP!H:H, "YES")) / (828 - COUNTIF(TermCOMP!S:S,"unsafe"))</f>
        <v>0</v>
      </c>
      <c r="E14" s="33">
        <f>(COUNTIFS(FSE!AB:AB,"", FSE!B:B, "*_T.c", FSE!Q:Q, "NO") + COUNTIFS(FSE!AB:AB,"", FSE!B:B, "*_NT.c", FSE!Q:Q, "YES")) / (117 - COUNTIF(FSE!AB:AB,"unsafe"))</f>
        <v>2.8571428571428571E-2</v>
      </c>
      <c r="G14" s="41"/>
      <c r="H14" s="41"/>
      <c r="L14" s="41"/>
      <c r="R14" s="23"/>
      <c r="S14" s="9" t="s">
        <v>822</v>
      </c>
      <c r="T14" s="36">
        <f>COUNTIFS(FSE!AB:AB,"", FSE!K:K, "OOM ERROR") / (117 - COUNTIF(FSE!AB:AB,"unsafe"))</f>
        <v>9.5238095238095247E-3</v>
      </c>
      <c r="V14" s="41"/>
      <c r="AK14" s="41"/>
      <c r="AL14" s="41"/>
      <c r="AM14" s="41"/>
    </row>
    <row r="15" spans="2:39" x14ac:dyDescent="0.2">
      <c r="B15" s="22"/>
      <c r="C15" s="32" t="s">
        <v>823</v>
      </c>
      <c r="D15" s="33">
        <f>COUNTIFS(TermCOMP!S:S,"", TermCOMP!H:H, "MAYBE") / (828 - COUNTIF(TermCOMP!S:S,"unsafe"))</f>
        <v>0.10486891385767791</v>
      </c>
      <c r="E15" s="33">
        <f>COUNTIFS(FSE!AB:AB,"", FSE!Q:Q, "MAYBE") / (117 - COUNTIF(FSE!AB:AB,"unsafe"))</f>
        <v>0.54285714285714282</v>
      </c>
      <c r="G15" s="41"/>
      <c r="H15" s="41"/>
      <c r="L15" s="41"/>
      <c r="R15" s="21" t="s">
        <v>826</v>
      </c>
      <c r="S15" s="41" t="s">
        <v>825</v>
      </c>
      <c r="T15" s="33">
        <f>(COUNTIFS(FSE!AB:AB,"", FSE!B:B, "*_T.c", FSE!M:M, "YES") + COUNTIFS(FSE!AB:AB,"", FSE!B:B, "*_NT.c", FSE!M:M, "NO")) / (117 - COUNTIF(FSE!AB:AB,"unsafe"))</f>
        <v>0.60952380952380958</v>
      </c>
      <c r="V15" s="41"/>
      <c r="AK15" s="41"/>
      <c r="AL15" s="41"/>
      <c r="AM15" s="41"/>
    </row>
    <row r="16" spans="2:39" x14ac:dyDescent="0.2">
      <c r="B16" s="22"/>
      <c r="C16" s="32" t="s">
        <v>821</v>
      </c>
      <c r="D16" s="33">
        <f>COUNTIFS(TermCOMP!S:S,"", TermCOMP!H:H, "TIMEOUT") / (828 - COUNTIF(TermCOMP!S:S,"unsafe"))</f>
        <v>8.4893882646691635E-2</v>
      </c>
      <c r="E16" s="33">
        <f>COUNTIFS(FSE!AB:AB,"", FSE!Q:Q, "TIMEOUT") / (117 - COUNTIF(FSE!AB:AB,"unsafe"))</f>
        <v>6.6666666666666666E-2</v>
      </c>
      <c r="G16" s="41"/>
      <c r="H16" s="41"/>
      <c r="L16" s="41"/>
      <c r="R16" s="22"/>
      <c r="S16" s="41" t="s">
        <v>824</v>
      </c>
      <c r="T16" s="33">
        <f>(COUNTIFS(FSE!AB:AB,"", FSE!B:B, "*_T.c", FSE!M:M, "NO") + COUNTIFS(FSE!AB:AB,"", FSE!B:B, "*_NT.c", FSE!M:M, "YES") ) / (117 - COUNTIF(FSE!AB:AB,"unsafe"))</f>
        <v>0</v>
      </c>
      <c r="V16" s="41"/>
      <c r="AK16" s="41"/>
      <c r="AL16" s="41"/>
      <c r="AM16" s="41"/>
    </row>
    <row r="17" spans="2:39" ht="21" thickBot="1" x14ac:dyDescent="0.25">
      <c r="B17" s="23"/>
      <c r="C17" s="6" t="s">
        <v>822</v>
      </c>
      <c r="D17" s="36">
        <f>COUNTIFS(TermCOMP!S:S,"", TermCOMP!H:H, "ERROR") / (828 - COUNTIF(TermCOMP!S:S,"unsafe"))</f>
        <v>8.1148564294631714E-2</v>
      </c>
      <c r="E17" s="36">
        <f>COUNTIFS(FSE!AB:AB,"", FSE!Q:Q, "ERROR") / (117 - COUNTIF(FSE!AB:AB,"unsafe"))</f>
        <v>9.5238095238095247E-3</v>
      </c>
      <c r="G17" s="41"/>
      <c r="H17" s="41"/>
      <c r="L17" s="41"/>
      <c r="R17" s="22"/>
      <c r="S17" s="41" t="s">
        <v>823</v>
      </c>
      <c r="T17" s="33">
        <f>COUNTIFS(FSE!AB:AB,"", FSE!M:M, "MAYBE") / (117 - COUNTIF(FSE!AB:AB,"unsafe"))</f>
        <v>0.22857142857142856</v>
      </c>
      <c r="V17" s="41"/>
      <c r="AL17" s="41"/>
      <c r="AM17" s="41"/>
    </row>
    <row r="18" spans="2:39" x14ac:dyDescent="0.25">
      <c r="B18" s="22" t="s">
        <v>835</v>
      </c>
      <c r="C18" s="32" t="s">
        <v>825</v>
      </c>
      <c r="D18" s="82">
        <f>(COUNTIFS(TermCOMP!S:S,"", TermCOMP!C:C, "YES", TermCOMP!J:J, "TRUE") + COUNTIFS(TermCOMP!S:S,"", TermCOMP!C:C, "NO", TermCOMP!J:J, "FALSE")) / (828 - COUNTIF(TermCOMP!S:S,"unsafe"))</f>
        <v>0.7865168539325843</v>
      </c>
      <c r="E18" s="33">
        <f>(COUNTIFS(FSE!AB:AB,"", FSE!B:B, "*_T.c", FSE!S:S, "TRUE") + COUNTIFS(FSE!AB:AB,"", FSE!B:B, "*_NT.c", FSE!S:S, "FALSE")) / (117 - COUNTIF(FSE!AB:AB,"unsafe"))</f>
        <v>0.43809523809523809</v>
      </c>
      <c r="G18" s="41"/>
      <c r="L18" s="41"/>
      <c r="R18" s="22"/>
      <c r="S18" s="41" t="s">
        <v>821</v>
      </c>
      <c r="T18" s="33">
        <f>COUNTIFS(FSE!AB:AB,"", FSE!M:M, "TIMEOUT") / (117 - COUNTIF(FSE!AB:AB,"unsafe"))</f>
        <v>0.16190476190476191</v>
      </c>
      <c r="V18" s="41"/>
      <c r="AK18" s="41"/>
      <c r="AL18" s="46"/>
      <c r="AM18" s="41"/>
    </row>
    <row r="19" spans="2:39" x14ac:dyDescent="0.2">
      <c r="B19" s="22"/>
      <c r="C19" s="32" t="s">
        <v>824</v>
      </c>
      <c r="D19" s="33">
        <f>(COUNTIFS(TermCOMP!S:S,"", TermCOMP!C:C, "YES", TermCOMP!J:J, "FALSE") + COUNTIFS(TermCOMP!S:S,"", TermCOMP!C:C, "NO", TermCOMP!J:J, "TRUE")) / (828 - COUNTIF(TermCOMP!S:S,"unsafe"))</f>
        <v>0</v>
      </c>
      <c r="E19" s="33">
        <f>(COUNTIFS(FSE!AB:AB,"", FSE!B:B, "*_T.c", FSE!S:S, "FALSE") + COUNTIFS(FSE!AB:AB,"", FSE!B:B, "*_NT.c", FSE!S:S, "TRUE")) / (117 - COUNTIF(FSE!AB:AB,"unsafe"))</f>
        <v>0</v>
      </c>
      <c r="G19" s="41"/>
      <c r="H19" s="41"/>
      <c r="L19" s="41"/>
      <c r="R19" s="22"/>
      <c r="S19" s="2" t="s">
        <v>875</v>
      </c>
      <c r="T19" s="33">
        <f>COUNTIFS(FSE!AB:AB,"", FSE!M:M, "ERROR") / (117 - COUNTIF(FSE!AB:AB,"unsafe"))</f>
        <v>0</v>
      </c>
      <c r="V19" s="41"/>
      <c r="AK19" s="41"/>
      <c r="AL19" s="41"/>
      <c r="AM19" s="41"/>
    </row>
    <row r="20" spans="2:39" ht="21" thickBot="1" x14ac:dyDescent="0.25">
      <c r="B20" s="22"/>
      <c r="C20" s="32" t="s">
        <v>823</v>
      </c>
      <c r="D20" s="33">
        <f>COUNTIFS(TermCOMP!S:S,"", TermCOMP!J:J, "UNKNOWN") / (828 - COUNTIF(TermCOMP!S:S,"unsafe"))</f>
        <v>0.18476903870162298</v>
      </c>
      <c r="E20" s="33">
        <f>COUNTIFS(FSE!AB:AB,"", FSE!S:S, "UNKNOWN") / (117 - COUNTIF(FSE!AB:AB,"unsafe"))</f>
        <v>0.35238095238095241</v>
      </c>
      <c r="G20" s="41"/>
      <c r="H20" s="41"/>
      <c r="L20" s="41"/>
      <c r="R20" s="23"/>
      <c r="S20" s="9" t="s">
        <v>822</v>
      </c>
      <c r="T20" s="36">
        <f>COUNTIFS(FSE!AB:AB,"", FSE!M:M, "OOM ERROR") / (117 - COUNTIF(FSE!AB:AB,"unsafe"))</f>
        <v>0</v>
      </c>
      <c r="V20" s="41"/>
      <c r="AK20" s="41"/>
      <c r="AL20" s="41"/>
      <c r="AM20" s="41"/>
    </row>
    <row r="21" spans="2:39" x14ac:dyDescent="0.2">
      <c r="B21" s="22"/>
      <c r="C21" s="32" t="s">
        <v>821</v>
      </c>
      <c r="D21" s="33">
        <f>COUNTIFS(TermCOMP!S:S,"", TermCOMP!J:J, "TIMEOUT") / (828 - COUNTIF(TermCOMP!S:S,"unsafe"))</f>
        <v>0</v>
      </c>
      <c r="E21" s="33">
        <f>COUNTIFS(FSE!AB:AB,"", FSE!S:S, "TIMEOUT") / (117 - COUNTIF(FSE!AB:AB,"unsafe"))</f>
        <v>0.14285714285714285</v>
      </c>
      <c r="G21" s="41"/>
      <c r="H21" s="41"/>
      <c r="L21" s="41"/>
      <c r="V21" s="41"/>
      <c r="AK21" s="41"/>
      <c r="AL21" s="41"/>
      <c r="AM21" s="41"/>
    </row>
    <row r="22" spans="2:39" ht="21" thickBot="1" x14ac:dyDescent="0.25">
      <c r="B22" s="23"/>
      <c r="C22" s="6" t="s">
        <v>822</v>
      </c>
      <c r="D22" s="36">
        <f>COUNTIFS(TermCOMP!S:S,"", TermCOMP!J:J, "ERROR") / (828 - COUNTIF(TermCOMP!S:S,"unsafe"))</f>
        <v>2.871410736579276E-2</v>
      </c>
      <c r="E22" s="36">
        <f>COUNTIFS(FSE!AB:AB,"", FSE!S:S, "ERROR") / (117 - COUNTIF(FSE!AB:AB,"unsafe"))</f>
        <v>6.6666666666666666E-2</v>
      </c>
      <c r="G22" s="41"/>
      <c r="H22" s="41"/>
      <c r="U22" s="41"/>
      <c r="V22" s="41"/>
      <c r="AL22" s="41"/>
      <c r="AM22" s="41"/>
    </row>
    <row r="23" spans="2:39" x14ac:dyDescent="0.25">
      <c r="B23" s="22" t="s">
        <v>631</v>
      </c>
      <c r="C23" s="32" t="s">
        <v>825</v>
      </c>
      <c r="D23" s="82">
        <f>(COUNTIFS(TermCOMP!S:S,"", TermCOMP!C:C, "YES", TermCOMP!L:L, "TRUE") + COUNTIFS(TermCOMP!S:S,"", TermCOMP!C:C, "NO", TermCOMP!L:L, "FALSE")) / (828 - COUNTIF(TermCOMP!S:S,"unsafe"))</f>
        <v>0.31210986267166041</v>
      </c>
      <c r="E23" s="33">
        <f>(COUNTIFS(FSE!AB:AB,"", FSE!B:B, "*_T.c", FSE!U:U, "TRUE") + COUNTIFS(FSE!AB:AB,"", FSE!B:B, "*_NT.c", FSE!U:U, "FALSE")) / (117 - COUNTIF(FSE!AB:AB,"unsafe"))</f>
        <v>0.12380952380952381</v>
      </c>
      <c r="G23" s="41"/>
      <c r="U23" s="46"/>
      <c r="V23" s="41"/>
      <c r="AI23" s="41"/>
      <c r="AK23" s="41"/>
      <c r="AL23" s="46"/>
      <c r="AM23" s="41"/>
    </row>
    <row r="24" spans="2:39" x14ac:dyDescent="0.2">
      <c r="B24" s="22"/>
      <c r="C24" s="32" t="s">
        <v>824</v>
      </c>
      <c r="D24" s="33">
        <f>(COUNTIFS(TermCOMP!S:S,"", TermCOMP!C:C, "YES", TermCOMP!L:L, "FALSE") + COUNTIFS(TermCOMP!S:S,"", TermCOMP!C:C, "NO", TermCOMP!L:L, "TRUE")) / (828 - COUNTIF(TermCOMP!S:S,"unsafe"))</f>
        <v>3.7453183520599251E-3</v>
      </c>
      <c r="E24" s="33">
        <f>(COUNTIFS(FSE!AB:AB,"", FSE!B:B, "*_T.c", FSE!U:U, "FALSE") + COUNTIFS(FSE!AB:AB,"", FSE!B:B, "*_NT.c", FSE!U:U, "TRUE")) / (117 - COUNTIF(FSE!AB:AB,"unsafe"))</f>
        <v>3.8095238095238099E-2</v>
      </c>
      <c r="G24" s="41"/>
      <c r="H24" s="41"/>
      <c r="U24" s="41"/>
      <c r="V24" s="41"/>
      <c r="AI24" s="41"/>
      <c r="AK24" s="41"/>
      <c r="AL24" s="41"/>
      <c r="AM24" s="41"/>
    </row>
    <row r="25" spans="2:39" x14ac:dyDescent="0.2">
      <c r="B25" s="22"/>
      <c r="C25" s="32" t="s">
        <v>823</v>
      </c>
      <c r="D25" s="33">
        <f>COUNTIFS(TermCOMP!S:S,"", TermCOMP!L:L, "UNKNOWN") / (828 - COUNTIF(TermCOMP!S:S,"unsafe"))</f>
        <v>0.56928838951310856</v>
      </c>
      <c r="E25" s="33">
        <f>COUNTIFS(FSE!AB:AB,"", FSE!U:U, "UNKNOWN") / (117 - COUNTIF(FSE!AB:AB,"unsafe"))</f>
        <v>0.49523809523809526</v>
      </c>
      <c r="G25" s="41"/>
      <c r="H25" s="41"/>
      <c r="U25" s="41"/>
      <c r="V25" s="41"/>
      <c r="AI25" s="41"/>
      <c r="AK25" s="41"/>
      <c r="AL25" s="41"/>
      <c r="AM25" s="41"/>
    </row>
    <row r="26" spans="2:39" x14ac:dyDescent="0.2">
      <c r="B26" s="22"/>
      <c r="C26" s="32" t="s">
        <v>821</v>
      </c>
      <c r="D26" s="33">
        <f>COUNTIFS(TermCOMP!S:S,"", TermCOMP!L:L, "TIMEOUT") / (828 - COUNTIF(TermCOMP!S:S,"unsafe"))</f>
        <v>2.871410736579276E-2</v>
      </c>
      <c r="E26" s="33">
        <f>COUNTIFS(FSE!AB:AB,"", FSE!U:U, "TIMEOUT") / (117 - COUNTIF(FSE!AB:AB,"unsafe"))</f>
        <v>3.8095238095238099E-2</v>
      </c>
      <c r="G26" s="41"/>
      <c r="H26" s="41"/>
      <c r="U26" s="41"/>
      <c r="V26" s="41"/>
      <c r="AI26" s="41"/>
      <c r="AK26" s="41"/>
      <c r="AL26" s="41"/>
      <c r="AM26" s="41"/>
    </row>
    <row r="27" spans="2:39" ht="21" thickBot="1" x14ac:dyDescent="0.25">
      <c r="B27" s="23"/>
      <c r="C27" s="6" t="s">
        <v>822</v>
      </c>
      <c r="D27" s="36">
        <f>COUNTIFS(TermCOMP!S:S,"", TermCOMP!L:L, "ERROR") / (828 - COUNTIF(TermCOMP!S:S,"unsafe"))</f>
        <v>8.6142322097378279E-2</v>
      </c>
      <c r="E27" s="36">
        <f>COUNTIFS(FSE!AB:AB,"", FSE!U:U, "ERROR") / (117 - COUNTIF(FSE!AB:AB,"unsafe"))</f>
        <v>0.30476190476190479</v>
      </c>
      <c r="G27" s="41"/>
      <c r="H27" s="41"/>
      <c r="U27" s="41"/>
      <c r="V27" s="41"/>
      <c r="AI27" s="41"/>
      <c r="AL27" s="41"/>
      <c r="AM27" s="41"/>
    </row>
    <row r="28" spans="2:39" x14ac:dyDescent="0.25">
      <c r="B28" s="33" t="s">
        <v>632</v>
      </c>
      <c r="C28" s="32" t="s">
        <v>825</v>
      </c>
      <c r="D28" s="82">
        <f>(COUNTIFS(TermCOMP!S:S,"", TermCOMP!C:C, "YES", TermCOMP!N:N, "yes") + COUNTIFS(TermCOMP!S:S,"", TermCOMP!C:C, "NO", TermCOMP!N:N, "no")) / (828 - COUNTIF(TermCOMP!S:S,"unsafe"))</f>
        <v>0.32709113607990015</v>
      </c>
      <c r="E28" s="33">
        <f>(COUNTIFS(FSE!AB:AB,"", FSE!B:B, "*_T.c", FSE!W:W, "yes") + COUNTIFS(FSE!AB:AB,"", FSE!B:B, "*_NT.c", FSE!W:W, "no")) / (117 - COUNTIF(FSE!AB:AB,"unsafe"))</f>
        <v>0.22857142857142856</v>
      </c>
      <c r="G28" s="41"/>
      <c r="S28" s="41"/>
      <c r="T28" s="41"/>
      <c r="U28" s="46"/>
      <c r="V28" s="41"/>
      <c r="AI28" s="41"/>
      <c r="AJ28" s="41"/>
      <c r="AK28" s="41"/>
      <c r="AL28" s="46"/>
      <c r="AM28" s="41"/>
    </row>
    <row r="29" spans="2:39" x14ac:dyDescent="0.2">
      <c r="B29" s="33"/>
      <c r="C29" s="32" t="s">
        <v>824</v>
      </c>
      <c r="D29" s="33">
        <f>(COUNTIFS(TermCOMP!S:S,"", TermCOMP!C:C, "YES", TermCOMP!N:N, "no") + COUNTIFS(TermCOMP!S:S,"", TermCOMP!C:C, "NO", TermCOMP!N:N, "yes")) / (828 - COUNTIF(TermCOMP!S:S,"unsafe"))</f>
        <v>1.9975031210986267E-2</v>
      </c>
      <c r="E29" s="33">
        <f>(COUNTIFS(FSE!AB:AB,"", FSE!B:B, "*_T.c", FSE!W:W, "no") + COUNTIFS(FSE!AB:AB,"", FSE!B:B, "*_NT.c", FSE!W:W, "yes")) / (117 - COUNTIF(FSE!AB:AB,"unsafe"))</f>
        <v>1.9047619047619049E-2</v>
      </c>
      <c r="G29" s="41"/>
      <c r="H29" s="41"/>
      <c r="S29" s="41"/>
      <c r="T29" s="41"/>
      <c r="U29" s="41"/>
      <c r="V29" s="41"/>
      <c r="AI29" s="41"/>
      <c r="AJ29" s="41"/>
      <c r="AK29" s="41"/>
      <c r="AL29" s="41"/>
      <c r="AM29" s="41"/>
    </row>
    <row r="30" spans="2:39" x14ac:dyDescent="0.2">
      <c r="B30" s="33"/>
      <c r="C30" s="32" t="s">
        <v>823</v>
      </c>
      <c r="D30" s="33">
        <f>COUNTIFS(TermCOMP!S:S,"", TermCOMP!N:N, "unknown") / (828 - COUNTIF(TermCOMP!S:S,"unsafe"))</f>
        <v>0.4394506866416979</v>
      </c>
      <c r="E30" s="33">
        <f>COUNTIFS(FSE!AB:AB,"", FSE!W:W, "unknown") / (117 - COUNTIF(FSE!AB:AB,"unsafe"))</f>
        <v>0.55238095238095242</v>
      </c>
      <c r="G30" s="41"/>
      <c r="H30" s="41"/>
      <c r="S30" s="41"/>
      <c r="T30" s="41"/>
      <c r="U30" s="41"/>
      <c r="V30" s="41"/>
      <c r="AI30" s="41"/>
      <c r="AJ30" s="41"/>
      <c r="AK30" s="41"/>
      <c r="AL30" s="41"/>
      <c r="AM30" s="41"/>
    </row>
    <row r="31" spans="2:39" x14ac:dyDescent="0.2">
      <c r="B31" s="33"/>
      <c r="C31" s="32" t="s">
        <v>821</v>
      </c>
      <c r="D31" s="33">
        <f>COUNTIFS(TermCOMP!S:S,"", TermCOMP!N:N, "timeout") / (828 - COUNTIF(TermCOMP!S:S,"unsafe"))</f>
        <v>1.2484394506866416E-2</v>
      </c>
      <c r="E31" s="33">
        <f>COUNTIFS(FSE!AB:AB,"", FSE!W:W, "timeout") / (117 - COUNTIF(FSE!AB:AB,"unsafe"))</f>
        <v>0</v>
      </c>
      <c r="G31" s="41"/>
      <c r="H31" s="41"/>
      <c r="S31" s="41"/>
      <c r="T31" s="41"/>
      <c r="U31" s="41"/>
      <c r="V31" s="41"/>
      <c r="AI31" s="41"/>
      <c r="AJ31" s="41"/>
      <c r="AK31" s="41"/>
      <c r="AL31" s="41"/>
      <c r="AM31" s="41"/>
    </row>
    <row r="32" spans="2:39" ht="21" thickBot="1" x14ac:dyDescent="0.25">
      <c r="B32" s="36"/>
      <c r="C32" s="6" t="s">
        <v>822</v>
      </c>
      <c r="D32" s="36">
        <f>COUNTIFS(TermCOMP!S:S,"", TermCOMP!N:N, "error") / (828 - COUNTIF(TermCOMP!S:S,"unsafe"))</f>
        <v>0.2009987515605493</v>
      </c>
      <c r="E32" s="36">
        <f>COUNTIFS(FSE!AB:AB,"", FSE!W:W, "error") / (117 - COUNTIF(FSE!AB:AB,"unsafe"))</f>
        <v>0.2</v>
      </c>
      <c r="G32" s="41"/>
      <c r="H32" s="41"/>
      <c r="S32" s="41"/>
      <c r="U32" s="41"/>
      <c r="V32" s="41"/>
      <c r="AI32" s="41"/>
      <c r="AJ32" s="41"/>
      <c r="AL32" s="41"/>
      <c r="AM32" s="41"/>
    </row>
    <row r="33" spans="2:39" x14ac:dyDescent="0.25">
      <c r="B33" s="33" t="s">
        <v>816</v>
      </c>
      <c r="C33" s="32" t="s">
        <v>825</v>
      </c>
      <c r="D33" s="82">
        <f>(COUNTIFS(TermCOMP!S:S,"", TermCOMP!C:C, "YES", TermCOMP!P:P, "YES") + COUNTIFS(TermCOMP!S:S,"", TermCOMP!C:C, "NO", TermCOMP!P:P, "NO")) / (828 - COUNTIF(TermCOMP!S:S,"unsafe"))</f>
        <v>0.65667915106117358</v>
      </c>
      <c r="E33" s="33">
        <f>(COUNTIFS(FSE!AB:AB,"", FSE!B:B, "*_T.c", FSE!Y:Y, "YES") + COUNTIFS(FSE!AB:AB,"", FSE!B:B, "*_NT.c", FSE!Y:Y, "NO")) / (117 - COUNTIF(FSE!AB:AB,"unsafe"))</f>
        <v>0.60952380952380958</v>
      </c>
      <c r="G33" s="41"/>
      <c r="S33" s="41"/>
      <c r="T33" s="41"/>
      <c r="U33" s="46"/>
      <c r="V33" s="41"/>
      <c r="AJ33" s="41"/>
      <c r="AK33" s="41"/>
      <c r="AL33" s="46"/>
      <c r="AM33" s="41"/>
    </row>
    <row r="34" spans="2:39" x14ac:dyDescent="0.2">
      <c r="B34" s="33"/>
      <c r="C34" s="32" t="s">
        <v>824</v>
      </c>
      <c r="D34" s="33">
        <f>(COUNTIFS(TermCOMP!S:S,"", TermCOMP!C:C, "YES", TermCOMP!P:P, "NO") + COUNTIFS(TermCOMP!S:S,"", TermCOMP!C:C, "NO", TermCOMP!P:P, "YES")) / (828 - COUNTIF(TermCOMP!S:S,"unsafe"))</f>
        <v>0.16853932584269662</v>
      </c>
      <c r="E34" s="33">
        <f>(COUNTIFS(FSE!AB:AB,"", FSE!B:B, "*_T.c", FSE!Y:Y, "NO") + COUNTIFS(FSE!AB:AB,"", FSE!B:B, "*_NT.c", FSE!Y:Y, "YES")) / (117 - COUNTIF(FSE!AB:AB,"unsafe"))</f>
        <v>0.21904761904761905</v>
      </c>
      <c r="G34" s="41"/>
      <c r="H34" s="41"/>
      <c r="S34" s="41"/>
      <c r="T34" s="41"/>
      <c r="U34" s="41"/>
      <c r="V34" s="41"/>
      <c r="AJ34" s="41"/>
      <c r="AK34" s="41"/>
      <c r="AL34" s="41"/>
      <c r="AM34" s="41"/>
    </row>
    <row r="35" spans="2:39" x14ac:dyDescent="0.2">
      <c r="B35" s="33"/>
      <c r="C35" s="32" t="s">
        <v>823</v>
      </c>
      <c r="D35" s="33">
        <f>COUNTIFS(TermCOMP!S:S,"", TermCOMP!P:P, "MAYBE") / (828 - COUNTIF(TermCOMP!S:S,"unsafe"))</f>
        <v>0</v>
      </c>
      <c r="E35" s="33">
        <f>COUNTIFS(FSE!AB:AB,"", FSE!Y:Y, "MAYBE") / (117 - COUNTIF(FSE!AB:AB,"unsafe"))</f>
        <v>0</v>
      </c>
      <c r="G35" s="41"/>
      <c r="H35" s="41"/>
      <c r="S35" s="41"/>
      <c r="T35" s="41"/>
      <c r="U35" s="41"/>
      <c r="V35" s="41"/>
      <c r="AJ35" s="41"/>
      <c r="AK35" s="41"/>
      <c r="AL35" s="41"/>
      <c r="AM35" s="41"/>
    </row>
    <row r="36" spans="2:39" x14ac:dyDescent="0.2">
      <c r="B36" s="33"/>
      <c r="C36" s="32" t="s">
        <v>821</v>
      </c>
      <c r="D36" s="33">
        <f>COUNTIFS(TermCOMP!S:S,"", TermCOMP!P:P, "TIMEOUT") / (828 - COUNTIF(TermCOMP!S:S,"unsafe"))</f>
        <v>4.9937578027465665E-2</v>
      </c>
      <c r="E36" s="33">
        <f>COUNTIFS(FSE!AB:AB,"", FSE!Y:Y, "TIMEOUT") / (117 - COUNTIF(FSE!AB:AB,"unsafe"))</f>
        <v>5.7142857142857141E-2</v>
      </c>
      <c r="G36" s="41"/>
      <c r="H36" s="41"/>
      <c r="AJ36" s="41"/>
      <c r="AK36" s="41"/>
      <c r="AL36" s="41"/>
      <c r="AM36" s="41"/>
    </row>
    <row r="37" spans="2:39" ht="21" thickBot="1" x14ac:dyDescent="0.25">
      <c r="B37" s="36"/>
      <c r="C37" s="6" t="s">
        <v>822</v>
      </c>
      <c r="D37" s="36">
        <f>COUNTIFS(TermCOMP!S:S,"", TermCOMP!P:P, "ERROR") / (828 - COUNTIF(TermCOMP!S:S,"unsafe"))</f>
        <v>0.12484394506866417</v>
      </c>
      <c r="E37" s="36">
        <f>COUNTIFS(FSE!AB:AB,"", FSE!Y:Y, "ERROR") / (117 - COUNTIF(FSE!AB:AB,"unsafe"))</f>
        <v>0.11428571428571428</v>
      </c>
      <c r="G37" s="41"/>
      <c r="H37" s="41"/>
      <c r="AJ37" s="41"/>
      <c r="AL37" s="41"/>
      <c r="AM37" s="41"/>
    </row>
    <row r="38" spans="2:39" x14ac:dyDescent="0.2">
      <c r="G38" s="41"/>
    </row>
    <row r="41" spans="2:39" ht="21" thickBot="1" x14ac:dyDescent="0.25">
      <c r="B41" s="2" t="s">
        <v>827</v>
      </c>
    </row>
    <row r="42" spans="2:39" ht="21" thickBot="1" x14ac:dyDescent="0.25">
      <c r="B42" s="95" t="s">
        <v>889</v>
      </c>
      <c r="C42" s="84" t="s">
        <v>826</v>
      </c>
      <c r="D42" s="84" t="s">
        <v>886</v>
      </c>
      <c r="E42" s="84" t="s">
        <v>633</v>
      </c>
      <c r="F42" s="84" t="s">
        <v>835</v>
      </c>
      <c r="G42" s="84" t="s">
        <v>631</v>
      </c>
      <c r="H42" s="83" t="s">
        <v>632</v>
      </c>
      <c r="I42" s="83" t="s">
        <v>816</v>
      </c>
      <c r="J42" s="91"/>
      <c r="L42" s="91"/>
      <c r="N42" s="92"/>
      <c r="P42" s="92"/>
    </row>
    <row r="43" spans="2:39" ht="21" thickBot="1" x14ac:dyDescent="0.25">
      <c r="B43" s="38" t="s">
        <v>842</v>
      </c>
      <c r="C43" s="59">
        <f ca="1">AVERAGEIF(TermCOMP!S:S, "", TermCOMP!E2:E829) / 1000</f>
        <v>105.60899750312109</v>
      </c>
      <c r="D43" s="59">
        <f ca="1">AVERAGEIF(TermCOMP!S:S, "", TermCOMP!G2:G829) / 1000</f>
        <v>114.50298252184768</v>
      </c>
      <c r="E43" s="59">
        <f ca="1">AVERAGEIF(TermCOMP!S:S, "", TermCOMP!I2:I829) / 1000</f>
        <v>115.91879900124843</v>
      </c>
      <c r="F43" s="59">
        <f ca="1">AVERAGEIF(TermCOMP!S:S, "", TermCOMP!K2:K829) / 1000</f>
        <v>96.343588014981279</v>
      </c>
      <c r="G43" s="59">
        <f ca="1">AVERAGEIF(TermCOMP!S:S, "", TermCOMP!M2:M829) / 1000</f>
        <v>230.87327590511862</v>
      </c>
      <c r="H43" s="59">
        <f ca="1">AVERAGEIF(TermCOMP!S:S, "", TermCOMP!O2:O829) / 1000</f>
        <v>17.616303370786518</v>
      </c>
      <c r="I43" s="59">
        <f ca="1">AVERAGEIF(TermCOMP!S:S, "", TermCOMP!Q2:Q829) / 1000</f>
        <v>59.460017478152309</v>
      </c>
      <c r="J43" s="91"/>
      <c r="L43" s="91"/>
      <c r="N43" s="91"/>
      <c r="P43" s="91"/>
    </row>
    <row r="44" spans="2:39" x14ac:dyDescent="0.2">
      <c r="J44" s="93"/>
      <c r="L44" s="93"/>
      <c r="N44" s="93"/>
      <c r="P44" s="93"/>
    </row>
    <row r="45" spans="2:39" ht="21" thickBot="1" x14ac:dyDescent="0.25">
      <c r="B45" s="2" t="s">
        <v>843</v>
      </c>
    </row>
    <row r="46" spans="2:39" ht="21" thickBot="1" x14ac:dyDescent="0.25">
      <c r="B46" s="84" t="s">
        <v>889</v>
      </c>
      <c r="C46" s="84" t="s">
        <v>865</v>
      </c>
      <c r="D46" s="84" t="s">
        <v>866</v>
      </c>
      <c r="E46" s="84" t="s">
        <v>826</v>
      </c>
      <c r="F46" s="84" t="s">
        <v>885</v>
      </c>
      <c r="G46" s="84" t="s">
        <v>633</v>
      </c>
      <c r="H46" s="84" t="s">
        <v>835</v>
      </c>
      <c r="I46" s="84" t="s">
        <v>631</v>
      </c>
      <c r="J46" s="83" t="s">
        <v>632</v>
      </c>
      <c r="K46" s="83" t="s">
        <v>816</v>
      </c>
    </row>
    <row r="47" spans="2:39" ht="21" thickBot="1" x14ac:dyDescent="0.25">
      <c r="B47" s="94" t="s">
        <v>842</v>
      </c>
      <c r="C47" s="59">
        <f ca="1">AVERAGEIF(FSE!AB:AB, "", FSE!D2:D118) / 1000</f>
        <v>141.97781904761902</v>
      </c>
      <c r="D47" s="59">
        <f ca="1">AVERAGEIF(FSE!AB:AB, "", FSE!L2:L118) / 1000</f>
        <v>105.98469523809524</v>
      </c>
      <c r="E47" s="59">
        <f ca="1">AVERAGEIF(FSE!AB:AB, "", FSE!N2:N118) / 1000</f>
        <v>211.22595238095238</v>
      </c>
      <c r="F47" s="59">
        <f ca="1">AVERAGEIF(FSE!AB:AB, "", FSE!P2:P118) / 1000</f>
        <v>89.938066666666671</v>
      </c>
      <c r="G47" s="59">
        <f ca="1">AVERAGEIF(FSE!AB:AB, "", FSE!R2:R118) / 1000</f>
        <v>98.609476190476187</v>
      </c>
      <c r="H47" s="59">
        <f ca="1">AVERAGEIF(FSE!AB:AB, "", FSE!T2:T118) / 1000</f>
        <v>170.70902857142858</v>
      </c>
      <c r="I47" s="59">
        <f ca="1">AVERAGEIF(FSE!AB:AB, "", FSE!V2:V118) / 1000</f>
        <v>329.70267619047615</v>
      </c>
      <c r="J47" s="59">
        <f ca="1">AVERAGEIF(FSE!AB:AB, "", FSE!X2:X118) / 1000</f>
        <v>0.50527619047619055</v>
      </c>
      <c r="K47" s="59">
        <f ca="1">AVERAGEIF(FSE!AB:AB, "", FSE!Z2:Z118) / 1000</f>
        <v>79.625857142857143</v>
      </c>
      <c r="L47" s="91"/>
      <c r="N47" s="91"/>
      <c r="P47" s="91"/>
      <c r="T47" s="92"/>
    </row>
    <row r="48" spans="2:39" x14ac:dyDescent="0.2">
      <c r="L48" s="91"/>
      <c r="N48" s="91"/>
      <c r="P48" s="91"/>
      <c r="T48" s="91"/>
    </row>
    <row r="49" spans="2:21" x14ac:dyDescent="0.2">
      <c r="L49" s="93"/>
      <c r="N49" s="93"/>
      <c r="P49" s="93"/>
      <c r="T49" s="93"/>
    </row>
    <row r="51" spans="2:21" ht="21" thickBot="1" x14ac:dyDescent="0.25">
      <c r="B51" s="2" t="s">
        <v>827</v>
      </c>
    </row>
    <row r="52" spans="2:21" ht="21" thickBot="1" x14ac:dyDescent="0.25">
      <c r="B52" s="96" t="s">
        <v>890</v>
      </c>
      <c r="C52" s="96"/>
      <c r="D52" s="96"/>
      <c r="E52" s="95" t="s">
        <v>828</v>
      </c>
      <c r="F52" s="95" t="s">
        <v>826</v>
      </c>
      <c r="G52" s="95" t="s">
        <v>885</v>
      </c>
      <c r="H52" s="95" t="s">
        <v>633</v>
      </c>
      <c r="I52" s="95" t="s">
        <v>835</v>
      </c>
      <c r="J52" s="95" t="s">
        <v>631</v>
      </c>
      <c r="K52" s="97" t="s">
        <v>632</v>
      </c>
      <c r="L52" s="97" t="s">
        <v>816</v>
      </c>
    </row>
    <row r="53" spans="2:21" x14ac:dyDescent="0.2">
      <c r="B53" s="1" t="s">
        <v>860</v>
      </c>
      <c r="C53" s="1"/>
      <c r="D53" s="2" cm="1">
        <f t="array" ref="D53">SUMPRODUCT(--ISNUMBER(SEARCH("Pointer", TermCOMP!R:R)), --(TermCOMP!S:S=""))</f>
        <v>143</v>
      </c>
      <c r="E53" s="51" t="s">
        <v>839</v>
      </c>
      <c r="F53" s="54" cm="1">
        <f t="array" ref="F53">SUMPRODUCT(
  --(TermCOMP!C:C="YES"),
  --(TermCOMP!D:D="YES"),
  --ISNUMBER(SEARCH("Pointer", TermCOMP!R:R)),
  --(TermCOMP!S:S="")
) +
SUMPRODUCT(
  --(TermCOMP!C:C="NO"),
  --(TermCOMP!D:D="NO"),
  --ISNUMBER(SEARCH("Pointer", TermCOMP!R:R)),
  --(TermCOMP!S:S="")
)</f>
        <v>95</v>
      </c>
      <c r="G53" s="54" cm="1">
        <f t="array" ref="G53">SUMPRODUCT(
  --(TermCOMP!C:C="YES"),
  --(TermCOMP!F:F=TRUE),
  --ISNUMBER(SEARCH("Pointer", TermCOMP!R:R)),
  --(TermCOMP!S:S="")
) +
SUMPRODUCT(
  --(TermCOMP!C:C="NO"),
  --(TermCOMP!F:F=FALSE),
  --ISNUMBER(SEARCH("Pointer", TermCOMP!R:R)),
  --(TermCOMP!S:S="")
)</f>
        <v>106</v>
      </c>
      <c r="H53" s="54" cm="1">
        <f t="array" ref="H53">SUMPRODUCT(
  --(TermCOMP!C:C="YES"),
  --(TermCOMP!H:H="YES"),
  --ISNUMBER(SEARCH("Pointer", TermCOMP!R:R)),
  --(TermCOMP!S:S="")
) +
SUMPRODUCT(
  --(TermCOMP!C:C="NO"),
  --(TermCOMP!H:H="NO"),
  --ISNUMBER(SEARCH("Pointer", TermCOMP!R:R)),
  --(TermCOMP!S:S="")
)</f>
        <v>111</v>
      </c>
      <c r="I53" s="54" cm="1">
        <f t="array" ref="I53">SUMPRODUCT(
  --(TermCOMP!C:C="YES"),
  --(TermCOMP!J:J=TRUE),
  --ISNUMBER(SEARCH("Pointer", TermCOMP!R:R)),
  --(TermCOMP!S:S="")
) +
SUMPRODUCT(
  --(TermCOMP!C:C="NO"),
  --(TermCOMP!J:J=FALSE),
  --ISNUMBER(SEARCH("Pointer", TermCOMP!R:R)),
  --(TermCOMP!S:S="")
)</f>
        <v>94</v>
      </c>
      <c r="J53" s="54" cm="1">
        <f t="array" ref="J53">SUMPRODUCT(
  --(TermCOMP!C:C="YES"),
  --(TermCOMP!L:L=TRUE),
  --ISNUMBER(SEARCH("Pointer", TermCOMP!R:R)),
  --(TermCOMP!S:S="")
) +
SUMPRODUCT(
  --(TermCOMP!C:C="NO"),
  --(TermCOMP!L:L=FALSE),
  --ISNUMBER(SEARCH("Pointer", TermCOMP!R:R)),
  --(TermCOMP!S:S="")
)</f>
        <v>0</v>
      </c>
      <c r="K53" s="54" cm="1">
        <f t="array" ref="K53">SUMPRODUCT(
  --(TermCOMP!C:C="YES"),
  --(TermCOMP!N:N="yes"),
  --ISNUMBER(SEARCH("Pointer", TermCOMP!R:R)),
  --(TermCOMP!S:S="")
) +
SUMPRODUCT(
  --(TermCOMP!C:C="NO"),
  --(TermCOMP!N:N="no"),
  --ISNUMBER(SEARCH("Pointer", TermCOMP!R:R)),
  --(TermCOMP!S:S="")
)</f>
        <v>1</v>
      </c>
      <c r="L53" s="54" cm="1">
        <f t="array" ref="L53">SUMPRODUCT(
  --(TermCOMP!C:C="YES"),
  --(TermCOMP!P:P="YES"),
  --ISNUMBER(SEARCH("Pointer", TermCOMP!R:R)),
  --(TermCOMP!S:S="")
) +
SUMPRODUCT(
  --(TermCOMP!C:C="NO"),
  --(TermCOMP!P:P="NO"),
  --ISNUMBER(SEARCH("Pointer", TermCOMP!R:R)),
  --(TermCOMP!S:S="")
)</f>
        <v>14</v>
      </c>
    </row>
    <row r="54" spans="2:21" x14ac:dyDescent="0.2">
      <c r="B54" s="1"/>
      <c r="C54" s="1"/>
      <c r="E54" s="2" t="s">
        <v>829</v>
      </c>
      <c r="F54" s="52" cm="1">
        <f t="array" ref="F54">SUMPRODUCT(
  --(TermCOMP!C:C="YES"),
  --(TermCOMP!D:D="NO"),
  --ISNUMBER(SEARCH("Pointer", TermCOMP!R:R)),
  --(TermCOMP!S:S="")
) +
SUMPRODUCT(
  --(TermCOMP!C:C="NO"),
  --(TermCOMP!D:D="YES"),
  --ISNUMBER(SEARCH("Pointer", TermCOMP!R:R)),
  --(TermCOMP!S:S="")
)</f>
        <v>0</v>
      </c>
      <c r="G54" s="52" cm="1">
        <f t="array" ref="G54">SUMPRODUCT(
  --(TermCOMP!C:C="YES"),
  --(TermCOMP!F:F=FALSE),
  --ISNUMBER(SEARCH("Pointer", TermCOMP!R:R)),
  --(TermCOMP!S:S="")
) +
SUMPRODUCT(
  --(TermCOMP!C:C="NO"),
  --(TermCOMP!F:F=TRUE),
  --ISNUMBER(SEARCH("Pointer", TermCOMP!R:R)),
  --(TermCOMP!S:S="")
)</f>
        <v>16</v>
      </c>
      <c r="H54" s="52" cm="1">
        <f t="array" ref="H54">SUMPRODUCT(
  --(TermCOMP!C:C="YES"),
  --(TermCOMP!H:H="NO"),
  --ISNUMBER(SEARCH("Pointer", TermCOMP!R:R)),
  --(TermCOMP!S:S="")
) +
SUMPRODUCT(
  --(TermCOMP!C:C="NO"),
  --(TermCOMP!H:H="YES"),
  --ISNUMBER(SEARCH("Pointer", TermCOMP!R:R)),
  --(TermCOMP!S:S="")
)</f>
        <v>0</v>
      </c>
      <c r="I54" s="52" cm="1">
        <f t="array" ref="I54">SUMPRODUCT(
  --(TermCOMP!C:C="YES"),
  --(TermCOMP!J:J=FALSE),
  --ISNUMBER(SEARCH("Pointer", TermCOMP!R:R)),
  --(TermCOMP!S:S="")
) +
SUMPRODUCT(
  --(TermCOMP!C:C="NO"),
  --(TermCOMP!J:J=TRUE),
  --ISNUMBER(SEARCH("Pointer", TermCOMP!R:R)),
  --(TermCOMP!S:S="")
)</f>
        <v>0</v>
      </c>
      <c r="J54" s="52" cm="1">
        <f t="array" ref="J54">SUMPRODUCT(
  --(TermCOMP!C:C="YES"),
  --(TermCOMP!L:L=FALSE),
  --ISNUMBER(SEARCH("Pointer", TermCOMP!R:R)),
  --(TermCOMP!S:S="")
) +
SUMPRODUCT(
  --(TermCOMP!C:C="NO"),
  --(TermCOMP!L:L=TRUE),
  --ISNUMBER(SEARCH("Pointer", TermCOMP!R:R)),
  --(TermCOMP!S:S="")
)</f>
        <v>0</v>
      </c>
      <c r="K54" s="52" cm="1">
        <f t="array" ref="K54">SUMPRODUCT(
  --(TermCOMP!C:C="YES"),
  --(TermCOMP!N:N="no"),
  --ISNUMBER(SEARCH("Pointer", TermCOMP!R:R)),
  --(TermCOMP!S:S="")
) +
SUMPRODUCT(
  --(TermCOMP!C:C="NO"),
  --(TermCOMP!N:N="yes"),
  --ISNUMBER(SEARCH("Pointer", TermCOMP!R:R)),
  --(TermCOMP!S:S="")
)</f>
        <v>0</v>
      </c>
      <c r="L54" s="52" cm="1">
        <f t="array" ref="L54">SUMPRODUCT(
  --(TermCOMP!C:C="YES"),
  --(TermCOMP!P:P="NO"),
  --ISNUMBER(SEARCH("Pointer", TermCOMP!R:R)),
  --(TermCOMP!S:S="")
) +
SUMPRODUCT(
  --(TermCOMP!C:C="NO"),
  --(TermCOMP!P:P="YES"),
  --ISNUMBER(SEARCH("Pointer", TermCOMP!R:R)),
  --(TermCOMP!S:S="")
)</f>
        <v>109</v>
      </c>
    </row>
    <row r="55" spans="2:21" x14ac:dyDescent="0.2">
      <c r="B55" s="1"/>
      <c r="C55" s="1"/>
      <c r="E55" s="2" t="s">
        <v>832</v>
      </c>
      <c r="F55" s="52" cm="1">
        <f t="array" ref="F55">SUMPRODUCT(--(TermCOMP!D:D="MAYBE"), --ISNUMBER(SEARCH("Pointer", TermCOMP!R:R)), --(TermCOMP!S:S=""))</f>
        <v>5</v>
      </c>
      <c r="G55" s="52" cm="1">
        <f t="array" ref="G55">SUMPRODUCT(--(TermCOMP!F:F="INCONCLUSIVE"), --ISNUMBER(SEARCH("Pointer", TermCOMP!R:R)), --(TermCOMP!S:S=""))</f>
        <v>21</v>
      </c>
      <c r="H55" s="52" cm="1">
        <f t="array" ref="H55">SUMPRODUCT(--(TermCOMP!H:H="MAYBE"), --ISNUMBER(SEARCH("Pointer", TermCOMP!R:R)), --(TermCOMP!S:S=""))</f>
        <v>15</v>
      </c>
      <c r="I55" s="52" cm="1">
        <f t="array" ref="I55">SUMPRODUCT(--(TermCOMP!J:J="UNKNOWN"), --ISNUMBER(SEARCH("Pointer", TermCOMP!R:R)), --(TermCOMP!S:S=""))</f>
        <v>33</v>
      </c>
      <c r="J55" s="52" cm="1">
        <f t="array" ref="J55">SUMPRODUCT(--(TermCOMP!L:L="UNKNOWN"), --ISNUMBER(SEARCH("Pointer", TermCOMP!R:R)), --(TermCOMP!S:S=""))</f>
        <v>142</v>
      </c>
      <c r="K55" s="52" cm="1">
        <f t="array" ref="K55">SUMPRODUCT(--(TermCOMP!N:N="unknown"), --ISNUMBER(SEARCH("Pointer", TermCOMP!R:R)), --(TermCOMP!S:S=""))</f>
        <v>14</v>
      </c>
      <c r="L55" s="52" cm="1">
        <f t="array" ref="L55">SUMPRODUCT(--(TermCOMP!P:P="MAYBE"), --ISNUMBER(SEARCH("Pointer", TermCOMP!R:R)), --(TermCOMP!S:S=""))</f>
        <v>0</v>
      </c>
      <c r="O55" s="91"/>
      <c r="Q55" s="91"/>
      <c r="S55" s="92"/>
      <c r="U55" s="92"/>
    </row>
    <row r="56" spans="2:21" x14ac:dyDescent="0.2">
      <c r="B56" s="1"/>
      <c r="C56" s="1"/>
      <c r="E56" s="2" t="s">
        <v>831</v>
      </c>
      <c r="F56" s="52" cm="1">
        <f t="array" ref="F56">SUMPRODUCT(--(TermCOMP!D:D="TIMEOUT"), --ISNUMBER(SEARCH("Pointer", TermCOMP!R:R)), --(TermCOMP!S:S=""))</f>
        <v>42</v>
      </c>
      <c r="G56" s="52" cm="1">
        <f t="array" ref="G56">SUMPRODUCT(--(TermCOMP!F:F="Terminated"), --ISNUMBER(SEARCH("Pointer", TermCOMP!R:R)), --(TermCOMP!S:S=""))</f>
        <v>0</v>
      </c>
      <c r="H56" s="52" cm="1">
        <f t="array" ref="H56">SUMPRODUCT(--(TermCOMP!H:H="TIMEOUT"), --ISNUMBER(SEARCH("Pointer", TermCOMP!R:R)), --(TermCOMP!S:S=""))</f>
        <v>15</v>
      </c>
      <c r="I56" s="52" cm="1">
        <f t="array" ref="I56">SUMPRODUCT(--(TermCOMP!J:J="TIMEOUT"), --ISNUMBER(SEARCH("Pointer", TermCOMP!R:R)), --(TermCOMP!S:S=""))</f>
        <v>0</v>
      </c>
      <c r="J56" s="52" cm="1">
        <f t="array" ref="J56">SUMPRODUCT(--(TermCOMP!L:L="TIMEOUT"), --ISNUMBER(SEARCH("Pointer", TermCOMP!R:R)), --(TermCOMP!S:S=""))</f>
        <v>0</v>
      </c>
      <c r="K56" s="52" cm="1">
        <f t="array" ref="K56">SUMPRODUCT(--(TermCOMP!N:N="timeout"), --ISNUMBER(SEARCH("Pointer", TermCOMP!R:R)), --(TermCOMP!S:S=""))</f>
        <v>0</v>
      </c>
      <c r="L56" s="52" cm="1">
        <f t="array" ref="L56">SUMPRODUCT(--(TermCOMP!P:P="TIMEOUT"), --ISNUMBER(SEARCH("Pointer", TermCOMP!R:R)), --(TermCOMP!S:S=""))</f>
        <v>1</v>
      </c>
      <c r="O56" s="52"/>
      <c r="Q56" s="52"/>
      <c r="S56" s="52"/>
      <c r="U56" s="52"/>
    </row>
    <row r="57" spans="2:21" x14ac:dyDescent="0.2">
      <c r="B57" s="50"/>
      <c r="C57" s="50"/>
      <c r="D57" s="34"/>
      <c r="E57" s="34" t="s">
        <v>830</v>
      </c>
      <c r="F57" s="53" cm="1">
        <f t="array" ref="F57">SUMPRODUCT((--((TermCOMP!D:D="ERROR") + (TermCOMP!D:D="OOM error"))), --ISNUMBER(SEARCH("Pointer", TermCOMP!R:R)), --(TermCOMP!S:S=""))</f>
        <v>1</v>
      </c>
      <c r="G57" s="53" cm="1">
        <f t="array" ref="G57">SUMPRODUCT(--(TermCOMP!F:F="INTERNAL-ERROR"), --ISNUMBER(SEARCH("Pointer", TermCOMP!R:R)), --(TermCOMP!S:S=""))</f>
        <v>0</v>
      </c>
      <c r="H57" s="53" cm="1">
        <f t="array" ref="H57">SUMPRODUCT(--(TermCOMP!H:H="ERROR"), --ISNUMBER(SEARCH("Pointer", TermCOMP!R:R)), --(TermCOMP!S:S=""))</f>
        <v>2</v>
      </c>
      <c r="I57" s="53" cm="1">
        <f t="array" ref="I57">SUMPRODUCT(--(TermCOMP!J:J="ERROR"), --ISNUMBER(SEARCH("Pointer", TermCOMP!R:R)), --(TermCOMP!S:S=""))</f>
        <v>16</v>
      </c>
      <c r="J57" s="53" cm="1">
        <f t="array" ref="J57">SUMPRODUCT(--(TermCOMP!L:L="ERROR"), --ISNUMBER(SEARCH("Pointer", TermCOMP!R:R)), --(TermCOMP!S:S=""))</f>
        <v>1</v>
      </c>
      <c r="K57" s="53" cm="1">
        <f t="array" ref="K57">SUMPRODUCT(--(TermCOMP!N:N="error"), --ISNUMBER(SEARCH("Pointer", TermCOMP!R:R)), --(TermCOMP!S:S=""))</f>
        <v>128</v>
      </c>
      <c r="L57" s="53" cm="1">
        <f t="array" ref="L57">SUMPRODUCT(--(TermCOMP!P:P="ERROR"), --ISNUMBER(SEARCH("Pointer", TermCOMP!R:R)), --(TermCOMP!S:S=""))</f>
        <v>19</v>
      </c>
      <c r="O57" s="52"/>
      <c r="Q57" s="52"/>
      <c r="S57" s="52"/>
      <c r="U57" s="52"/>
    </row>
    <row r="58" spans="2:21" x14ac:dyDescent="0.2">
      <c r="B58" s="1" t="s">
        <v>861</v>
      </c>
      <c r="C58" s="1"/>
      <c r="D58" s="2" cm="1">
        <f t="array" ref="D58">SUMPRODUCT(--ISNUMBER(SEARCH("Structure", TermCOMP!R:R)), --(TermCOMP!S:S=""))</f>
        <v>16</v>
      </c>
      <c r="E58" s="51" t="s">
        <v>839</v>
      </c>
      <c r="F58" s="54" cm="1">
        <f t="array" ref="F58">SUMPRODUCT(
  --(TermCOMP!C:C="YES"),
  --(TermCOMP!D:D="YES"),
  --ISNUMBER(SEARCH("Structure", TermCOMP!R:R)),
  --(TermCOMP!S:S="")
) +
SUMPRODUCT(
  --(TermCOMP!C:C="NO"),
  --(TermCOMP!D:D="NO"),
  --ISNUMBER(SEARCH("Structure", TermCOMP!R:R)),
  --(TermCOMP!S:S="")
)</f>
        <v>1</v>
      </c>
      <c r="G58" s="54" cm="1">
        <f t="array" ref="G58">SUMPRODUCT(
  --(TermCOMP!C:C="YES"),
  --(TermCOMP!F:F=TRUE),
  --ISNUMBER(SEARCH("Structure", TermCOMP!R:R)),
  --(TermCOMP!S:S="")
) +
SUMPRODUCT(
  --(TermCOMP!C:C="NO"),
  --(TermCOMP!F:F=FALSE),
  --ISNUMBER(SEARCH("Structure", TermCOMP!R:R)),
  --(TermCOMP!S:S="")
)</f>
        <v>3</v>
      </c>
      <c r="H58" s="54" cm="1">
        <f t="array" ref="H58">SUMPRODUCT(
  --(TermCOMP!C:C="YES"),
  --(TermCOMP!H:H="YES"),
  --ISNUMBER(SEARCH("Structure", TermCOMP!R:R)),
  --(TermCOMP!S:S="")
) +
SUMPRODUCT(
  --(TermCOMP!C:C="NO"),
  --(TermCOMP!H:H="NO"),
  --ISNUMBER(SEARCH("Structure", TermCOMP!R:R)),
  --(TermCOMP!S:S="")
)</f>
        <v>15</v>
      </c>
      <c r="I58" s="54" cm="1">
        <f t="array" ref="I58">SUMPRODUCT(
  --(TermCOMP!C:C="YES"),
  --(TermCOMP!J:J=TRUE),
  --ISNUMBER(SEARCH("Structure", TermCOMP!R:R)),
  --(TermCOMP!S:S="")
) +
SUMPRODUCT(
  --(TermCOMP!C:C="NO"),
  --(TermCOMP!J:J=FALSE),
  --ISNUMBER(SEARCH("Structure", TermCOMP!R:R)),
  --(TermCOMP!S:S="")
)</f>
        <v>1</v>
      </c>
      <c r="J58" s="54" cm="1">
        <f t="array" ref="J58">SUMPRODUCT(
  --(TermCOMP!C:C="YES"),
  --(TermCOMP!L:L=TRUE),
  --ISNUMBER(SEARCH("Structure", TermCOMP!R:R)),
  --(TermCOMP!S:S="")
) +
SUMPRODUCT(
  --(TermCOMP!C:C="NO"),
  --(TermCOMP!L:L=FALSE),
  --ISNUMBER(SEARCH("Structure", TermCOMP!R:R)),
  --(TermCOMP!S:S="")
)</f>
        <v>0</v>
      </c>
      <c r="K58" s="54" cm="1">
        <f t="array" ref="K58">SUMPRODUCT(
  --(TermCOMP!C:C="YES"),
  --(TermCOMP!N:N="yes"),
  --ISNUMBER(SEARCH("Structure", TermCOMP!R:R)),
  --(TermCOMP!S:S="")
) +
SUMPRODUCT(
  --(TermCOMP!C:C="NO"),
  --(TermCOMP!N:N="no"),
  --ISNUMBER(SEARCH("Structure", TermCOMP!R:R)),
  --(TermCOMP!S:S="")
)</f>
        <v>1</v>
      </c>
      <c r="L58" s="54" cm="1">
        <f t="array" ref="L58">SUMPRODUCT(
  --(TermCOMP!C:C="YES"),
  --(TermCOMP!P:P="YES"),
  --ISNUMBER(SEARCH("Structure", TermCOMP!R:R)),
  --(TermCOMP!S:S="")
) +
SUMPRODUCT(
  --(TermCOMP!C:C="NO"),
  --(TermCOMP!P:P="NO"),
  --ISNUMBER(SEARCH("Structure", TermCOMP!R:R)),
  --(TermCOMP!S:S="")
)</f>
        <v>1</v>
      </c>
      <c r="O58" s="52"/>
      <c r="Q58" s="52"/>
      <c r="S58" s="52"/>
      <c r="U58" s="52"/>
    </row>
    <row r="59" spans="2:21" x14ac:dyDescent="0.2">
      <c r="B59" s="1"/>
      <c r="C59" s="1"/>
      <c r="E59" s="2" t="s">
        <v>829</v>
      </c>
      <c r="F59" s="52" cm="1">
        <f t="array" ref="F59">SUMPRODUCT(
  --(TermCOMP!C:C="YES"),
  --(TermCOMP!D:D="NO"),
  --ISNUMBER(SEARCH("Structure", TermCOMP!R:R)),
  --(TermCOMP!S:S="")
) +
SUMPRODUCT(
  --(TermCOMP!C:C="NO"),
  --(TermCOMP!D:D="YES"),
  --ISNUMBER(SEARCH("Structure", TermCOMP!R:R)),
  --(TermCOMP!S:S="")
)</f>
        <v>0</v>
      </c>
      <c r="G59" s="52" cm="1">
        <f t="array" ref="G59">SUMPRODUCT(
  --(TermCOMP!C:C="YES"),
  --(TermCOMP!F:F=FALSE),
  --ISNUMBER(SEARCH("Structure", TermCOMP!R:R)),
  --(TermCOMP!S:S="")
) +
SUMPRODUCT(
  --(TermCOMP!C:C="NO"),
  --(TermCOMP!F:F=TRUE),
  --ISNUMBER(SEARCH("Structure", TermCOMP!R:R)),
  --(TermCOMP!S:S="")
)</f>
        <v>13</v>
      </c>
      <c r="H59" s="52" cm="1">
        <f t="array" ref="H59">SUMPRODUCT(
  --(TermCOMP!C:C="YES"),
  --(TermCOMP!H:H="NO"),
  --ISNUMBER(SEARCH("Structure", TermCOMP!R:R)),
  --(TermCOMP!S:S="")
) +
SUMPRODUCT(
  --(TermCOMP!C:C="NO"),
  --(TermCOMP!H:H="YES"),
  --ISNUMBER(SEARCH("Structure", TermCOMP!R:R)),
  --(TermCOMP!S:S="")
)</f>
        <v>0</v>
      </c>
      <c r="I59" s="52" cm="1">
        <f t="array" ref="I59">SUMPRODUCT(
  --(TermCOMP!C:C="YES"),
  --(TermCOMP!J:J=FALSE),
  --ISNUMBER(SEARCH("Structure", TermCOMP!R:R)),
  --(TermCOMP!S:S="")
) +
SUMPRODUCT(
  --(TermCOMP!C:C="NO"),
  --(TermCOMP!J:J=TRUE),
  --ISNUMBER(SEARCH("Structure", TermCOMP!R:R)),
  --(TermCOMP!S:S="")
)</f>
        <v>0</v>
      </c>
      <c r="J59" s="52" cm="1">
        <f t="array" ref="J59">SUMPRODUCT(
  --(TermCOMP!C:C="YES"),
  --(TermCOMP!L:L=FALSE),
  --ISNUMBER(SEARCH("Structure", TermCOMP!R:R)),
  --(TermCOMP!S:S="")
) +
SUMPRODUCT(
  --(TermCOMP!C:C="NO"),
  --(TermCOMP!L:L=TRUE),
  --ISNUMBER(SEARCH("Structure", TermCOMP!R:R)),
  --(TermCOMP!S:S="")
)</f>
        <v>0</v>
      </c>
      <c r="K59" s="52" cm="1">
        <f t="array" ref="K59">SUMPRODUCT(
  --(TermCOMP!C:C="YES"),
  --(TermCOMP!N:N="no"),
  --ISNUMBER(SEARCH("Structure", TermCOMP!R:R)),
  --(TermCOMP!S:S="")
) +
SUMPRODUCT(
  --(TermCOMP!C:C="NO"),
  --(TermCOMP!N:N="yes"),
  --ISNUMBER(SEARCH("Structure", TermCOMP!R:R)),
  --(TermCOMP!S:S="")
)</f>
        <v>0</v>
      </c>
      <c r="L59" s="52" cm="1">
        <f t="array" ref="L59">SUMPRODUCT(
  --(TermCOMP!C:C="YES"),
  --(TermCOMP!P:P="NO"),
  --ISNUMBER(SEARCH("Structure", TermCOMP!R:R)),
  --(TermCOMP!S:S="")
) +
SUMPRODUCT(
  --(TermCOMP!C:C="NO"),
  --(TermCOMP!P:P="YES"),
  --ISNUMBER(SEARCH("Structure", TermCOMP!R:R)),
  --(TermCOMP!S:S="")
)</f>
        <v>8</v>
      </c>
      <c r="O59" s="52"/>
      <c r="Q59" s="52"/>
      <c r="S59" s="52"/>
      <c r="U59" s="52"/>
    </row>
    <row r="60" spans="2:21" x14ac:dyDescent="0.2">
      <c r="B60" s="1"/>
      <c r="C60" s="1"/>
      <c r="E60" s="2" t="s">
        <v>832</v>
      </c>
      <c r="F60" s="52" cm="1">
        <f t="array" ref="F60">SUMPRODUCT(--(TermCOMP!D:D="MAYBE"), --ISNUMBER(SEARCH("Structure", TermCOMP!R:R)), --(TermCOMP!S:S=""))</f>
        <v>5</v>
      </c>
      <c r="G60" s="52" cm="1">
        <f t="array" ref="G60">SUMPRODUCT(--(TermCOMP!F:F="INCONCLUSIVE"), --ISNUMBER(SEARCH("Structure", TermCOMP!R:R)), --(TermCOMP!S:S=""))</f>
        <v>0</v>
      </c>
      <c r="H60" s="52" cm="1">
        <f t="array" ref="H60">SUMPRODUCT(--(TermCOMP!H:H="MAYBE"), --ISNUMBER(SEARCH("Structure", TermCOMP!R:R)), --(TermCOMP!S:S=""))</f>
        <v>1</v>
      </c>
      <c r="I60" s="52" cm="1">
        <f t="array" ref="I60">SUMPRODUCT(--(TermCOMP!J:J="UNKNOWN"), --ISNUMBER(SEARCH("Structure", TermCOMP!R:R)), --(TermCOMP!S:S=""))</f>
        <v>15</v>
      </c>
      <c r="J60" s="52" cm="1">
        <f t="array" ref="J60">SUMPRODUCT(--(TermCOMP!L:L="UNKNOWN"), --ISNUMBER(SEARCH("Structure", TermCOMP!R:R)), --(TermCOMP!S:S=""))</f>
        <v>16</v>
      </c>
      <c r="K60" s="52" cm="1">
        <f t="array" ref="K60">SUMPRODUCT(--(TermCOMP!N:N="unknown"), --ISNUMBER(SEARCH("Structure", TermCOMP!R:R)), --(TermCOMP!S:S=""))</f>
        <v>14</v>
      </c>
      <c r="L60" s="52" cm="1">
        <f t="array" ref="L60">SUMPRODUCT(--(TermCOMP!P:P="MAYBE"), --ISNUMBER(SEARCH("Structure", TermCOMP!R:R)), --(TermCOMP!S:S=""))</f>
        <v>0</v>
      </c>
      <c r="O60" s="52"/>
      <c r="Q60" s="52"/>
      <c r="S60" s="52"/>
      <c r="U60" s="52"/>
    </row>
    <row r="61" spans="2:21" x14ac:dyDescent="0.2">
      <c r="B61" s="1"/>
      <c r="C61" s="1"/>
      <c r="E61" s="2" t="s">
        <v>831</v>
      </c>
      <c r="F61" s="52" cm="1">
        <f t="array" ref="F61">SUMPRODUCT(--(TermCOMP!D:D="TIMEOUT"), --ISNUMBER(SEARCH("Structure", TermCOMP!R:R)), --(TermCOMP!S:S=""))</f>
        <v>10</v>
      </c>
      <c r="G61" s="52" cm="1">
        <f t="array" ref="G61">SUMPRODUCT(--(TermCOMP!F:F="Terminated"), --ISNUMBER(SEARCH("Structure", TermCOMP!R:R)), --(TermCOMP!S:S=""))</f>
        <v>0</v>
      </c>
      <c r="H61" s="52" cm="1">
        <f t="array" ref="H61">SUMPRODUCT(--(TermCOMP!H:H="TIMEOUT"), --ISNUMBER(SEARCH("Structure", TermCOMP!R:R)), --(TermCOMP!S:S=""))</f>
        <v>0</v>
      </c>
      <c r="I61" s="52" cm="1">
        <f t="array" ref="I61">SUMPRODUCT(--(TermCOMP!J:J="TIMEOUT"), --ISNUMBER(SEARCH("Structure", TermCOMP!R:R)), --(TermCOMP!S:S=""))</f>
        <v>0</v>
      </c>
      <c r="J61" s="52" cm="1">
        <f t="array" ref="J61">SUMPRODUCT(--(TermCOMP!L:L="TIMEOUT"), --ISNUMBER(SEARCH("Structure", TermCOMP!R:R)), --(TermCOMP!S:S=""))</f>
        <v>0</v>
      </c>
      <c r="K61" s="52" cm="1">
        <f t="array" ref="K61">SUMPRODUCT(--(TermCOMP!N:N="timeout"), --ISNUMBER(SEARCH("Structure", TermCOMP!R:R)), --(TermCOMP!S:S=""))</f>
        <v>0</v>
      </c>
      <c r="L61" s="52" cm="1">
        <f t="array" ref="L61">SUMPRODUCT(--(TermCOMP!P:P="TIMEOUT"), --ISNUMBER(SEARCH("Structure", TermCOMP!R:R)), --(TermCOMP!S:S=""))</f>
        <v>0</v>
      </c>
      <c r="O61" s="52"/>
      <c r="Q61" s="52"/>
      <c r="S61" s="52"/>
      <c r="U61" s="52"/>
    </row>
    <row r="62" spans="2:21" x14ac:dyDescent="0.2">
      <c r="B62" s="50"/>
      <c r="C62" s="50"/>
      <c r="D62" s="34"/>
      <c r="E62" s="34" t="s">
        <v>830</v>
      </c>
      <c r="F62" s="53" cm="1">
        <f t="array" ref="F62">SUMPRODUCT((--((TermCOMP!D:D="ERROR") + (TermCOMP!D:D="OOM error"))), --ISNUMBER(SEARCH("Structure", TermCOMP!R:R)), --(TermCOMP!S:S=""))</f>
        <v>0</v>
      </c>
      <c r="G62" s="53" cm="1">
        <f t="array" ref="G62">SUMPRODUCT(--(TermCOMP!F:F="INTERNAL-ERROR"), --ISNUMBER(SEARCH("Structure", TermCOMP!R:R)), --(TermCOMP!S:S=""))</f>
        <v>0</v>
      </c>
      <c r="H62" s="53" cm="1">
        <f t="array" ref="H62">SUMPRODUCT(--(TermCOMP!H:H="ERROR"), --ISNUMBER(SEARCH("Structure", TermCOMP!R:R)), --(TermCOMP!S:S=""))</f>
        <v>0</v>
      </c>
      <c r="I62" s="53" cm="1">
        <f t="array" ref="I62">SUMPRODUCT(--(TermCOMP!J:J="ERROR"), --ISNUMBER(SEARCH("Structure", TermCOMP!R:R)), --(TermCOMP!S:S=""))</f>
        <v>0</v>
      </c>
      <c r="J62" s="53" cm="1">
        <f t="array" ref="J62">SUMPRODUCT(--(TermCOMP!L:L="ERROR"), --ISNUMBER(SEARCH("Structure", TermCOMP!R:R)), --(TermCOMP!S:S=""))</f>
        <v>0</v>
      </c>
      <c r="K62" s="53" cm="1">
        <f t="array" ref="K62">SUMPRODUCT(--(TermCOMP!N:N="error"), --ISNUMBER(SEARCH("Structure", TermCOMP!R:R)), --(TermCOMP!S:S=""))</f>
        <v>1</v>
      </c>
      <c r="L62" s="53" cm="1">
        <f t="array" ref="L62">SUMPRODUCT(--(TermCOMP!P:P="ERROR"), --ISNUMBER(SEARCH("Structure", TermCOMP!R:R)), --(TermCOMP!S:S=""))</f>
        <v>7</v>
      </c>
      <c r="O62" s="52"/>
      <c r="Q62" s="52"/>
      <c r="S62" s="52"/>
      <c r="U62" s="52"/>
    </row>
    <row r="63" spans="2:21" x14ac:dyDescent="0.2">
      <c r="B63" s="1" t="s">
        <v>101</v>
      </c>
      <c r="D63" s="2" cm="1">
        <f t="array" ref="D63">SUMPRODUCT(--ISNUMBER(SEARCH("Recursion", TermCOMP!R:R)), --(TermCOMP!S:S=""))</f>
        <v>62</v>
      </c>
      <c r="E63" s="51" t="s">
        <v>839</v>
      </c>
      <c r="F63" s="54" cm="1">
        <f t="array" ref="F63">SUMPRODUCT(
  --(TermCOMP!C:C="YES"),
  --(TermCOMP!D:D="YES"),
  --ISNUMBER(SEARCH("Recursion", TermCOMP!R:R)),
  --(TermCOMP!S:S="")
) +
SUMPRODUCT(
  --(TermCOMP!C:C="NO"),
  --(TermCOMP!D:D="NO"),
  --ISNUMBER(SEARCH("Recursion", TermCOMP!R:R)),
  --(TermCOMP!S:S="")
)</f>
        <v>24</v>
      </c>
      <c r="G63" s="54" cm="1">
        <f t="array" ref="G63">SUMPRODUCT(
  --(TermCOMP!C:C="YES"),
  --(TermCOMP!F:F=TRUE),
  --ISNUMBER(SEARCH("Recursion", TermCOMP!R:R)),
  --(TermCOMP!S:S="")
) +
SUMPRODUCT(
  --(TermCOMP!C:C="NO"),
  --(TermCOMP!F:F=FALSE),
  --ISNUMBER(SEARCH("Recursion", TermCOMP!R:R)),
  --(TermCOMP!S:S="")
)</f>
        <v>39</v>
      </c>
      <c r="H63" s="54" cm="1">
        <f t="array" ref="H63">SUMPRODUCT(
  --(TermCOMP!C:C="YES"),
  --(TermCOMP!H:H="YES"),
  --ISNUMBER(SEARCH("Recursion", TermCOMP!R:R)),
  --(TermCOMP!S:S="")
) +
SUMPRODUCT(
  --(TermCOMP!C:C="NO"),
  --(TermCOMP!H:H="NO"),
  --ISNUMBER(SEARCH("Recursion", TermCOMP!R:R)),
  --(TermCOMP!S:S="")
)</f>
        <v>45</v>
      </c>
      <c r="I63" s="54" cm="1">
        <f t="array" ref="I63">SUMPRODUCT(
  --(TermCOMP!C:C="YES"),
  --(TermCOMP!J:J=TRUE),
  --ISNUMBER(SEARCH("Recursion", TermCOMP!R:R)),
  --(TermCOMP!S:S="")
) +
SUMPRODUCT(
  --(TermCOMP!C:C="NO"),
  --(TermCOMP!J:J=FALSE),
  --ISNUMBER(SEARCH("Recursion", TermCOMP!R:R)),
  --(TermCOMP!S:S="")
)</f>
        <v>45</v>
      </c>
      <c r="J63" s="54" cm="1">
        <f t="array" ref="J63">SUMPRODUCT(
  --(TermCOMP!C:C="YES"),
  --(TermCOMP!L:L=TRUE),
  --ISNUMBER(SEARCH("Recursion", TermCOMP!R:R)),
  --(TermCOMP!S:S="")
) +
SUMPRODUCT(
  --(TermCOMP!C:C="NO"),
  --(TermCOMP!L:L=FALSE),
  --ISNUMBER(SEARCH("Recursion", TermCOMP!R:R)),
  --(TermCOMP!S:S="")
)</f>
        <v>0</v>
      </c>
      <c r="K63" s="54" cm="1">
        <f t="array" ref="K63">SUMPRODUCT(
  --(TermCOMP!C:C="YES"),
  --(TermCOMP!N:N="yes"),
  --ISNUMBER(SEARCH("Recursion", TermCOMP!R:R)),
  --(TermCOMP!S:S="")
) +
SUMPRODUCT(
  --(TermCOMP!C:C="NO"),
  --(TermCOMP!N:N="no"),
  --ISNUMBER(SEARCH("Recursion", TermCOMP!R:R)),
  --(TermCOMP!S:S="")
)</f>
        <v>41</v>
      </c>
      <c r="L63" s="54" cm="1">
        <f t="array" ref="L63">SUMPRODUCT(
  --(TermCOMP!C:C="YES"),
  --(TermCOMP!P:P="YES"),
  --ISNUMBER(SEARCH("Recursion", TermCOMP!R:R)),
  --(TermCOMP!S:S="")
) +
SUMPRODUCT(
  --(TermCOMP!C:C="NO"),
  --(TermCOMP!P:P="NO"),
  --ISNUMBER(SEARCH("Recursion", TermCOMP!R:R)),
  --(TermCOMP!S:S="")
)</f>
        <v>51</v>
      </c>
      <c r="O63" s="52"/>
      <c r="Q63" s="52"/>
      <c r="S63" s="52"/>
      <c r="U63" s="52"/>
    </row>
    <row r="64" spans="2:21" x14ac:dyDescent="0.2">
      <c r="B64" s="1"/>
      <c r="E64" s="2" t="s">
        <v>829</v>
      </c>
      <c r="F64" s="52" cm="1">
        <f t="array" ref="F64">SUMPRODUCT(
  --(TermCOMP!C:C="YES"),
  --(TermCOMP!D:D="NO"),
  --ISNUMBER(SEARCH("Recursion", TermCOMP!R:R)),
  --(TermCOMP!S:S="")
) +
SUMPRODUCT(
  --(TermCOMP!C:C="NO"),
  --(TermCOMP!D:D="YES"),
  --ISNUMBER(SEARCH("Recursion", TermCOMP!R:R)),
  --(TermCOMP!S:S="")
)</f>
        <v>0</v>
      </c>
      <c r="G64" s="52" cm="1">
        <f t="array" ref="G64">SUMPRODUCT(
  --(TermCOMP!C:C="YES"),
  --(TermCOMP!F:F=FALSE),
  --ISNUMBER(SEARCH("Recursion", TermCOMP!R:R)),
  --(TermCOMP!S:S="")
) +
SUMPRODUCT(
  --(TermCOMP!C:C="NO"),
  --(TermCOMP!F:F=TRUE),
  --ISNUMBER(SEARCH("Recursion", TermCOMP!R:R)),
  --(TermCOMP!S:S="")
)</f>
        <v>0</v>
      </c>
      <c r="H64" s="52" cm="1">
        <f t="array" ref="H64">SUMPRODUCT(
  --(TermCOMP!C:C="YES"),
  --(TermCOMP!H:H="NO"),
  --ISNUMBER(SEARCH("Recursion", TermCOMP!R:R)),
  --(TermCOMP!S:S="")
) +
SUMPRODUCT(
  --(TermCOMP!C:C="NO"),
  --(TermCOMP!H:H="YES"),
  --ISNUMBER(SEARCH("Recursion", TermCOMP!R:R)),
  --(TermCOMP!S:S="")
)</f>
        <v>0</v>
      </c>
      <c r="I64" s="52" cm="1">
        <f t="array" ref="I64">SUMPRODUCT(
  --(TermCOMP!C:C="YES"),
  --(TermCOMP!J:J=FALSE),
  --ISNUMBER(SEARCH("Recursion", TermCOMP!R:R)),
  --(TermCOMP!S:S="")
) +
SUMPRODUCT(
  --(TermCOMP!C:C="NO"),
  --(TermCOMP!J:J=TRUE),
  --ISNUMBER(SEARCH("Recursion", TermCOMP!R:R)),
  --(TermCOMP!S:S="")
)</f>
        <v>0</v>
      </c>
      <c r="J64" s="52" cm="1">
        <f t="array" ref="J64">SUMPRODUCT(
  --(TermCOMP!C:C="YES"),
  --(TermCOMP!L:L=FALSE),
  --ISNUMBER(SEARCH("Recursion", TermCOMP!R:R)),
  --(TermCOMP!S:S="")
) +
SUMPRODUCT(
  --(TermCOMP!C:C="NO"),
  --(TermCOMP!L:L=TRUE),
  --ISNUMBER(SEARCH("Recursion", TermCOMP!R:R)),
  --(TermCOMP!S:S="")
)</f>
        <v>0</v>
      </c>
      <c r="K64" s="52" cm="1">
        <f t="array" ref="K64">SUMPRODUCT(
  --(TermCOMP!C:C="YES"),
  --(TermCOMP!N:N="no"),
  --ISNUMBER(SEARCH("Recursion", TermCOMP!R:R)),
  --(TermCOMP!S:S="")
) +
SUMPRODUCT(
  --(TermCOMP!C:C="NO"),
  --(TermCOMP!N:N="yes"),
  --ISNUMBER(SEARCH("Recursion", TermCOMP!R:R)),
  --(TermCOMP!S:S="")
)</f>
        <v>9</v>
      </c>
      <c r="L64" s="52" cm="1">
        <f t="array" ref="L64">SUMPRODUCT(
  --(TermCOMP!C:C="YES"),
  --(TermCOMP!P:P="NO"),
  --ISNUMBER(SEARCH("Recursion", TermCOMP!R:R)),
  --(TermCOMP!S:S="")
) +
SUMPRODUCT(
  --(TermCOMP!C:C="NO"),
  --(TermCOMP!P:P="YES"),
  --ISNUMBER(SEARCH("Recursion", TermCOMP!R:R)),
  --(TermCOMP!S:S="")
)</f>
        <v>11</v>
      </c>
      <c r="O64" s="52"/>
      <c r="Q64" s="52"/>
      <c r="S64" s="52"/>
      <c r="U64" s="52"/>
    </row>
    <row r="65" spans="2:25" x14ac:dyDescent="0.2">
      <c r="E65" s="2" t="s">
        <v>832</v>
      </c>
      <c r="F65" s="52" cm="1">
        <f t="array" ref="F65">SUMPRODUCT(--(TermCOMP!D:D="MAYBE"), --ISNUMBER(SEARCH("Recursion", TermCOMP!R:R)), --(TermCOMP!S:S=""))</f>
        <v>38</v>
      </c>
      <c r="G65" s="52" cm="1">
        <f t="array" ref="G65">SUMPRODUCT(--(TermCOMP!F:F="INCONCLUSIVE"), --ISNUMBER(SEARCH("Recursion", TermCOMP!R:R)), --(TermCOMP!S:S=""))</f>
        <v>23</v>
      </c>
      <c r="H65" s="52" cm="1">
        <f t="array" ref="H65">SUMPRODUCT(--(TermCOMP!H:H="MAYBE"), --ISNUMBER(SEARCH("Recursion", TermCOMP!R:R)), --(TermCOMP!S:S=""))</f>
        <v>11</v>
      </c>
      <c r="I65" s="52" cm="1">
        <f t="array" ref="I65">SUMPRODUCT(--(TermCOMP!J:J="UNKNOWN"), --ISNUMBER(SEARCH("Recursion", TermCOMP!R:R)), --(TermCOMP!S:S=""))</f>
        <v>17</v>
      </c>
      <c r="J65" s="52" cm="1">
        <f t="array" ref="J65">SUMPRODUCT(--(TermCOMP!L:L="UNKNOWN"), --ISNUMBER(SEARCH("Recursion", TermCOMP!R:R)), --(TermCOMP!S:S=""))</f>
        <v>7</v>
      </c>
      <c r="K65" s="52" cm="1">
        <f t="array" ref="K65">SUMPRODUCT(--(TermCOMP!N:N="unknown"), --ISNUMBER(SEARCH("Recursion", TermCOMP!R:R)), --(TermCOMP!S:S=""))</f>
        <v>3</v>
      </c>
      <c r="L65" s="52" cm="1">
        <f t="array" ref="L65">SUMPRODUCT(--(TermCOMP!P:P="MAYBE"), --ISNUMBER(SEARCH("Recursion", TermCOMP!R:R)), --(TermCOMP!S:S=""))</f>
        <v>0</v>
      </c>
      <c r="O65" s="52"/>
      <c r="Q65" s="52"/>
      <c r="S65" s="52"/>
      <c r="U65" s="52"/>
    </row>
    <row r="66" spans="2:25" x14ac:dyDescent="0.2">
      <c r="E66" s="2" t="s">
        <v>831</v>
      </c>
      <c r="F66" s="52" cm="1">
        <f t="array" ref="F66">SUMPRODUCT(--(TermCOMP!D:D="TIMEOUT"), --ISNUMBER(SEARCH("Recursion", TermCOMP!R:R)), --(TermCOMP!S:S=""))</f>
        <v>0</v>
      </c>
      <c r="G66" s="52" cm="1">
        <f t="array" ref="G66">SUMPRODUCT(--(TermCOMP!F:F="Terminated"), --ISNUMBER(SEARCH("Recursion", TermCOMP!R:R)), --(TermCOMP!S:S=""))</f>
        <v>0</v>
      </c>
      <c r="H66" s="52" cm="1">
        <f t="array" ref="H66">SUMPRODUCT(--(TermCOMP!H:H="TIMEOUT"), --ISNUMBER(SEARCH("Recursion", TermCOMP!R:R)), --(TermCOMP!S:S=""))</f>
        <v>2</v>
      </c>
      <c r="I66" s="52" cm="1">
        <f t="array" ref="I66">SUMPRODUCT(--(TermCOMP!J:J="TIMEOUT"), --ISNUMBER(SEARCH("Recursion", TermCOMP!R:R)), --(TermCOMP!S:S=""))</f>
        <v>0</v>
      </c>
      <c r="J66" s="52" cm="1">
        <f t="array" ref="J66">SUMPRODUCT(--(TermCOMP!L:L="TIMEOUT"), --ISNUMBER(SEARCH("Recursion", TermCOMP!R:R)), --(TermCOMP!S:S=""))</f>
        <v>0</v>
      </c>
      <c r="K66" s="52" cm="1">
        <f t="array" ref="K66">SUMPRODUCT(--(TermCOMP!N:N="timeout"), --ISNUMBER(SEARCH("Recursion", TermCOMP!R:R)), --(TermCOMP!S:S=""))</f>
        <v>0</v>
      </c>
      <c r="L66" s="52" cm="1">
        <f t="array" ref="L66">SUMPRODUCT(--(TermCOMP!P:P="TIMEOUT"), --ISNUMBER(SEARCH("Recursion", TermCOMP!R:R)), --(TermCOMP!S:S=""))</f>
        <v>0</v>
      </c>
      <c r="O66" s="52"/>
      <c r="Q66" s="52"/>
      <c r="S66" s="52"/>
      <c r="U66" s="52"/>
    </row>
    <row r="67" spans="2:25" ht="21" thickBot="1" x14ac:dyDescent="0.25">
      <c r="B67" s="9"/>
      <c r="C67" s="9"/>
      <c r="D67" s="9"/>
      <c r="E67" s="9" t="s">
        <v>830</v>
      </c>
      <c r="F67" s="55" cm="1">
        <f t="array" ref="F67">SUMPRODUCT((--((TermCOMP!D:D="ERROR") + (TermCOMP!D:D="OOM error"))), --ISNUMBER(SEARCH("Recursion", TermCOMP!R:R)), --(TermCOMP!S:S=""))</f>
        <v>0</v>
      </c>
      <c r="G67" s="55" cm="1">
        <f t="array" ref="G67">SUMPRODUCT(--(TermCOMP!F:F="INTERNAL-ERROR"), --ISNUMBER(SEARCH("Recursion", TermCOMP!R:R)), --(TermCOMP!S:S=""))</f>
        <v>0</v>
      </c>
      <c r="H67" s="55" cm="1">
        <f t="array" ref="H67">SUMPRODUCT(--(TermCOMP!H:H="ERROR"), --ISNUMBER(SEARCH("Recursion", TermCOMP!R:R)), --(TermCOMP!S:S=""))</f>
        <v>4</v>
      </c>
      <c r="I67" s="55" cm="1">
        <f t="array" ref="I67">SUMPRODUCT(--(TermCOMP!J:J="ERROR"), --ISNUMBER(SEARCH("Recursion", TermCOMP!R:R)), --(TermCOMP!S:S=""))</f>
        <v>0</v>
      </c>
      <c r="J67" s="55" cm="1">
        <f t="array" ref="J67">SUMPRODUCT(--(TermCOMP!L:L="ERROR"), --ISNUMBER(SEARCH("Recursion", TermCOMP!R:R)), --(TermCOMP!S:S=""))</f>
        <v>55</v>
      </c>
      <c r="K67" s="55" cm="1">
        <f t="array" ref="K67">SUMPRODUCT(--(TermCOMP!N:N="error"), --ISNUMBER(SEARCH("Recursion", TermCOMP!R:R)), --(TermCOMP!S:S=""))</f>
        <v>9</v>
      </c>
      <c r="L67" s="55" cm="1">
        <f t="array" ref="L67">SUMPRODUCT(--(TermCOMP!P:P="TIMEOUT"), --ISNUMBER(SEARCH("Recursion", TermCOMP!R:R)), --(TermCOMP!S:S=""))</f>
        <v>0</v>
      </c>
      <c r="O67" s="52"/>
      <c r="Q67" s="52"/>
      <c r="S67" s="52"/>
      <c r="U67" s="52"/>
    </row>
    <row r="68" spans="2:25" x14ac:dyDescent="0.2">
      <c r="B68" s="1" t="s">
        <v>862</v>
      </c>
      <c r="D68" s="52">
        <f>SUM(D53,D58,D63)</f>
        <v>221</v>
      </c>
      <c r="E68" s="51" t="s">
        <v>839</v>
      </c>
      <c r="F68" s="54">
        <f t="shared" ref="F68:F69" si="0">SUM(F53,F58,F63)</f>
        <v>120</v>
      </c>
      <c r="G68" s="54">
        <f t="shared" ref="G68:G72" si="1">SUM(G53,G58,G63)</f>
        <v>148</v>
      </c>
      <c r="H68" s="54">
        <f t="shared" ref="H68:L72" si="2">SUM(H53,H58,H63)</f>
        <v>171</v>
      </c>
      <c r="I68" s="54">
        <f t="shared" si="2"/>
        <v>140</v>
      </c>
      <c r="J68" s="54">
        <f t="shared" si="2"/>
        <v>0</v>
      </c>
      <c r="K68" s="54">
        <f t="shared" si="2"/>
        <v>43</v>
      </c>
      <c r="L68" s="54">
        <f t="shared" si="2"/>
        <v>66</v>
      </c>
      <c r="O68" s="52"/>
      <c r="Q68" s="52"/>
      <c r="S68" s="52"/>
      <c r="U68" s="52"/>
    </row>
    <row r="69" spans="2:25" x14ac:dyDescent="0.2">
      <c r="E69" s="2" t="s">
        <v>829</v>
      </c>
      <c r="F69" s="52">
        <f t="shared" si="0"/>
        <v>0</v>
      </c>
      <c r="G69" s="52">
        <f t="shared" si="1"/>
        <v>29</v>
      </c>
      <c r="H69" s="52">
        <f t="shared" si="2"/>
        <v>0</v>
      </c>
      <c r="I69" s="52">
        <f t="shared" si="2"/>
        <v>0</v>
      </c>
      <c r="J69" s="52">
        <f t="shared" si="2"/>
        <v>0</v>
      </c>
      <c r="K69" s="52">
        <f t="shared" si="2"/>
        <v>9</v>
      </c>
      <c r="L69" s="52">
        <f t="shared" si="2"/>
        <v>128</v>
      </c>
      <c r="O69" s="52"/>
      <c r="Q69" s="52"/>
      <c r="S69" s="52"/>
      <c r="U69" s="52"/>
    </row>
    <row r="70" spans="2:25" x14ac:dyDescent="0.2">
      <c r="C70" s="1"/>
      <c r="E70" s="2" t="s">
        <v>832</v>
      </c>
      <c r="F70" s="52">
        <f t="shared" ref="F70" si="3">SUM(F55,F60,F65)</f>
        <v>48</v>
      </c>
      <c r="G70" s="52">
        <f t="shared" si="1"/>
        <v>44</v>
      </c>
      <c r="H70" s="52">
        <f t="shared" si="2"/>
        <v>27</v>
      </c>
      <c r="I70" s="52">
        <f t="shared" si="2"/>
        <v>65</v>
      </c>
      <c r="J70" s="52">
        <f t="shared" si="2"/>
        <v>165</v>
      </c>
      <c r="K70" s="52">
        <f t="shared" si="2"/>
        <v>31</v>
      </c>
      <c r="L70" s="52">
        <f t="shared" si="2"/>
        <v>0</v>
      </c>
      <c r="O70" s="52"/>
      <c r="Q70" s="52"/>
      <c r="S70" s="52"/>
      <c r="U70" s="52"/>
    </row>
    <row r="71" spans="2:25" x14ac:dyDescent="0.2">
      <c r="E71" s="2" t="s">
        <v>831</v>
      </c>
      <c r="F71" s="52">
        <f t="shared" ref="F71:F72" si="4">SUM(F56,F61,F66)</f>
        <v>52</v>
      </c>
      <c r="G71" s="52">
        <f t="shared" si="1"/>
        <v>0</v>
      </c>
      <c r="H71" s="52">
        <f t="shared" si="2"/>
        <v>17</v>
      </c>
      <c r="I71" s="52">
        <f t="shared" si="2"/>
        <v>0</v>
      </c>
      <c r="J71" s="52">
        <f t="shared" si="2"/>
        <v>0</v>
      </c>
      <c r="K71" s="52">
        <f t="shared" si="2"/>
        <v>0</v>
      </c>
      <c r="L71" s="52">
        <f t="shared" si="2"/>
        <v>1</v>
      </c>
      <c r="O71" s="52"/>
      <c r="Q71" s="52"/>
      <c r="S71" s="52"/>
      <c r="U71" s="52"/>
    </row>
    <row r="72" spans="2:25" ht="21" thickBot="1" x14ac:dyDescent="0.25">
      <c r="B72" s="38"/>
      <c r="C72" s="38"/>
      <c r="E72" s="9" t="s">
        <v>830</v>
      </c>
      <c r="F72" s="55">
        <f t="shared" si="4"/>
        <v>1</v>
      </c>
      <c r="G72" s="55">
        <f t="shared" si="1"/>
        <v>0</v>
      </c>
      <c r="H72" s="55">
        <f t="shared" si="2"/>
        <v>6</v>
      </c>
      <c r="I72" s="55">
        <f t="shared" si="2"/>
        <v>16</v>
      </c>
      <c r="J72" s="55">
        <f t="shared" si="2"/>
        <v>56</v>
      </c>
      <c r="K72" s="55">
        <f t="shared" si="2"/>
        <v>138</v>
      </c>
      <c r="L72" s="55">
        <f t="shared" si="2"/>
        <v>26</v>
      </c>
      <c r="O72" s="52"/>
      <c r="Q72" s="52"/>
      <c r="S72" s="52"/>
      <c r="U72" s="52"/>
    </row>
    <row r="73" spans="2:25" x14ac:dyDescent="0.2">
      <c r="C73" s="1"/>
      <c r="D73" s="11"/>
      <c r="E73" s="2" t="s">
        <v>864</v>
      </c>
      <c r="F73" s="52">
        <f t="shared" ref="F73" si="5">SUM(F69:F72)</f>
        <v>101</v>
      </c>
      <c r="G73" s="52">
        <f>SUM(G69:G72)</f>
        <v>73</v>
      </c>
      <c r="H73" s="52">
        <f>SUM(H69:H72)</f>
        <v>50</v>
      </c>
      <c r="I73" s="52">
        <f t="shared" ref="I73" si="6">SUM(I69:I72)</f>
        <v>81</v>
      </c>
      <c r="J73" s="52">
        <f>SUM(J69:J72)</f>
        <v>221</v>
      </c>
      <c r="K73" s="52">
        <f>SUM(K69:K72)</f>
        <v>178</v>
      </c>
      <c r="L73" s="52">
        <f>SUM(L69:L72)</f>
        <v>155</v>
      </c>
      <c r="O73" s="52"/>
      <c r="Q73" s="52"/>
      <c r="S73" s="52"/>
      <c r="U73" s="52"/>
    </row>
    <row r="74" spans="2:25" x14ac:dyDescent="0.2">
      <c r="O74" s="52"/>
      <c r="Q74" s="52"/>
      <c r="S74" s="52"/>
      <c r="U74" s="52"/>
    </row>
    <row r="75" spans="2:25" ht="21" thickBot="1" x14ac:dyDescent="0.25">
      <c r="B75" s="2" t="s">
        <v>843</v>
      </c>
      <c r="O75" s="52"/>
      <c r="Q75" s="52"/>
      <c r="S75" s="52"/>
      <c r="U75" s="52"/>
    </row>
    <row r="76" spans="2:25" ht="21" thickBot="1" x14ac:dyDescent="0.25">
      <c r="B76" s="37" t="s">
        <v>888</v>
      </c>
      <c r="C76" s="37"/>
      <c r="D76" s="37"/>
      <c r="E76" s="95" t="s">
        <v>828</v>
      </c>
      <c r="F76" s="95" t="s">
        <v>865</v>
      </c>
      <c r="G76" s="95" t="s">
        <v>866</v>
      </c>
      <c r="H76" s="95" t="s">
        <v>826</v>
      </c>
      <c r="I76" s="95" t="s">
        <v>885</v>
      </c>
      <c r="J76" s="95" t="s">
        <v>633</v>
      </c>
      <c r="K76" s="95" t="s">
        <v>835</v>
      </c>
      <c r="L76" s="95" t="s">
        <v>631</v>
      </c>
      <c r="M76" s="97" t="s">
        <v>632</v>
      </c>
      <c r="N76" s="97" t="s">
        <v>816</v>
      </c>
      <c r="O76" s="52"/>
      <c r="Q76" s="52"/>
      <c r="S76" s="52"/>
      <c r="U76" s="52"/>
    </row>
    <row r="77" spans="2:25" x14ac:dyDescent="0.2">
      <c r="B77" s="1" t="s">
        <v>860</v>
      </c>
      <c r="C77" s="1"/>
      <c r="D77" s="2" cm="1">
        <f t="array" ref="D77">SUMPRODUCT(--ISNUMBER(SEARCH("Pointer", FSE!AA:AA)), --(FSE!AB:AB=""))</f>
        <v>14</v>
      </c>
      <c r="E77" s="51" t="s">
        <v>839</v>
      </c>
      <c r="F77" s="54" cm="1">
        <f t="array" ref="F77">SUMPRODUCT(
   --ISNUMBER(SEARCH("_T.c", FSE!B:B)),
  --(FSE!C:C="YES"),
  --ISNUMBER(SEARCH("Pointer", FSE!AA:AA)),
  --(FSE!AB:AB="")
) +
SUMPRODUCT(
   --ISNUMBER(SEARCH("_NT.c", FSE!B:B)),
  --(FSE!C:C="NO"),
  --ISNUMBER(SEARCH("Pointer", FSE!AA:AA)),
  --(FSE!AB:AB="")
)</f>
        <v>3</v>
      </c>
      <c r="G77" s="54" cm="1">
        <f t="array" ref="G77">SUMPRODUCT(
   --ISNUMBER(SEARCH("_T.c", FSE!B:B)),
  --(FSE!K:K="YES"),
  --ISNUMBER(SEARCH("Pointer", FSE!AA:AA)),
  --(FSE!AB:AB="")
) +
SUMPRODUCT(
   --ISNUMBER(SEARCH("_NT.c", FSE!B:B)),
  --(FSE!K:K="NO"),
  --ISNUMBER(SEARCH("Pointer", FSE!AA:AA)),
  --(FSE!AB:AB="")
)</f>
        <v>2</v>
      </c>
      <c r="H77" s="54" cm="1">
        <f t="array" ref="H77">SUMPRODUCT(
   --ISNUMBER(SEARCH("_T.c", FSE!B:B)),
  --(FSE!M:M="YES"),
  --ISNUMBER(SEARCH("Pointer", FSE!AA:AA)),
  --(FSE!AB:AB="")
) +
SUMPRODUCT(
   --ISNUMBER(SEARCH("_NT.c", FSE!B:B)),
  --(FSE!M:M="NO"),
  --ISNUMBER(SEARCH("Pointer", FSE!AA:AA)),
  --(FSE!AB:AB="")
)</f>
        <v>3</v>
      </c>
      <c r="I77" s="54" cm="1">
        <f t="array" ref="I77">SUMPRODUCT(
   --ISNUMBER(SEARCH("_T.c", FSE!B:B)),
  --(FSE!O:O=TRUE),
  --ISNUMBER(SEARCH("Pointer", FSE!AA:AA)),
  --(FSE!AB:AB="")
) +
SUMPRODUCT(
   --ISNUMBER(SEARCH("_NT.c", FSE!B:B)),
  --(FSE!O:O=FALSE),
  --ISNUMBER(SEARCH("Pointer", FSE!AA:AA)),
  --(FSE!AB:AB="")
)</f>
        <v>6</v>
      </c>
      <c r="J77" s="54" cm="1">
        <f t="array" ref="J77">SUMPRODUCT(
   --ISNUMBER(SEARCH("_T.c", FSE!B:B)),
  --(FSE!Q:Q="YES"),
  --ISNUMBER(SEARCH("Pointer", FSE!AA:AA)),
  --(FSE!AB:AB="")
) +
SUMPRODUCT(
   --ISNUMBER(SEARCH("_NT.c", FSE!B:B)),
  --(FSE!Q:Q="NO"),
  --ISNUMBER(SEARCH("Pointer", FSE!AA:AA)),
  --(FSE!AB:AB="")
)</f>
        <v>0</v>
      </c>
      <c r="K77" s="54" cm="1">
        <f t="array" ref="K77">SUMPRODUCT(
   --ISNUMBER(SEARCH("_T.c", FSE!B:B)),
  --(FSE!S:S=TRUE),
  --ISNUMBER(SEARCH("Pointer", FSE!AA:AA)),
  --(FSE!AB:AB="")
) +
SUMPRODUCT(
   --ISNUMBER(SEARCH("_NT.c", FSE!B:B)),
  --(FSE!S:S=FALSE),
  --ISNUMBER(SEARCH("Pointer", FSE!AA:AA)),
  --(FSE!AB:AB="")
)</f>
        <v>3</v>
      </c>
      <c r="L77" s="54" cm="1">
        <f t="array" ref="L77">SUMPRODUCT(
   --ISNUMBER(SEARCH("_T.c", FSE!B:B)),
  --(FSE!U:U=TRUE),
  --ISNUMBER(SEARCH("Pointer", FSE!AA:AA)),
  --(FSE!AB:AB="")
) +
SUMPRODUCT(
   --ISNUMBER(SEARCH("_NT.c", FSE!B:B)),
  --(FSE!U:U=FALSE),
  --ISNUMBER(SEARCH("Pointer", FSE!AA:AA)),
  --(FSE!AB:AB="")
)</f>
        <v>0</v>
      </c>
      <c r="M77" s="54" cm="1">
        <f t="array" ref="M77">SUMPRODUCT(
   --ISNUMBER(SEARCH("_T.c", FSE!B:B)),
  --(FSE!W:W="yes"),
  --ISNUMBER(SEARCH("Pointer", FSE!AA:AA)),
  --(FSE!AB:AB="")
) +
SUMPRODUCT(
   --ISNUMBER(SEARCH("_NT.c", FSE!B:B)),
  --(FSE!W:W="no"),
  --ISNUMBER(SEARCH("Pointer", FSE!AA:AA)),
  --(FSE!AB:AB="")
)</f>
        <v>0</v>
      </c>
      <c r="N77" s="54" cm="1">
        <f t="array" ref="N77">SUMPRODUCT(
   --ISNUMBER(SEARCH("_T.c", FSE!B:B)),
  --(FSE!Y:Y="YES"),
  --ISNUMBER(SEARCH("Pointer", FSE!AA:AA)),
  --(FSE!AB:AB="")
) +
SUMPRODUCT(
   --ISNUMBER(SEARCH("_NT.c", FSE!B:B)),
  --(FSE!Y:Y="NO"),
  --ISNUMBER(SEARCH("Pointer", FSE!AA:AA)),
  --(FSE!AB:AB="")
)</f>
        <v>4</v>
      </c>
    </row>
    <row r="78" spans="2:25" x14ac:dyDescent="0.2">
      <c r="B78" s="1"/>
      <c r="C78" s="1"/>
      <c r="E78" s="2" t="s">
        <v>829</v>
      </c>
      <c r="F78" s="52" cm="1">
        <f t="array" ref="F78">SUMPRODUCT(
   --ISNUMBER(SEARCH("_T.c", FSE!B:B)),
  --(FSE!C:C="NO"),
  --ISNUMBER(SEARCH("Pointer", FSE!AA:AA)),
  --(FSE!AB:AB="")
) +
SUMPRODUCT(
   --ISNUMBER(SEARCH("_NT.c", FSE!B:B)),
  --(FSE!C:C="YES"),
  --ISNUMBER(SEARCH("Pointer", FSE!AA:AA)),
  --(FSE!AB:AB="")
)</f>
        <v>0</v>
      </c>
      <c r="G78" s="52" cm="1">
        <f t="array" ref="G78">SUMPRODUCT(
   --ISNUMBER(SEARCH("_T.c", FSE!B:B)),
  --(FSE!K:K="NO"),
  --ISNUMBER(SEARCH("Pointer", FSE!AA:AA)),
  --(FSE!AB:AB="")
) +
SUMPRODUCT(
   --ISNUMBER(SEARCH("_NT.c", FSE!B:B)),
  --(FSE!K:K="YES"),
  --ISNUMBER(SEARCH("Pointer", FSE!AA:AA)),
  --(FSE!AB:AB="")
)</f>
        <v>0</v>
      </c>
      <c r="H78" s="52" cm="1">
        <f t="array" ref="H78">SUMPRODUCT(
   --ISNUMBER(SEARCH("_T.c", FSE!B:B)),
  --(FSE!M:M="NO"),
  --ISNUMBER(SEARCH("Pointer", FSE!AA:AA)),
  --(FSE!AB:AB="")
) +
SUMPRODUCT(
   --ISNUMBER(SEARCH("_NT.c", FSE!B:B)),
  --(FSE!M:M="YES"),
  --ISNUMBER(SEARCH("Pointer", FSE!AA:AA)),
  --(FSE!AB:AB="")
)</f>
        <v>0</v>
      </c>
      <c r="I78" s="52" cm="1">
        <f t="array" ref="I78">SUMPRODUCT(
   --ISNUMBER(SEARCH("_T.c", FSE!B:B)),
  --(FSE!O:O=FALSE),
  --ISNUMBER(SEARCH("Pointer", FSE!AA:AA)),
  --(FSE!AB:AB="")
) +
SUMPRODUCT(
   --ISNUMBER(SEARCH("_NT.c", FSE!B:B)),
  --(FSE!O:O=TRUE),
  --ISNUMBER(SEARCH("Pointer", FSE!AA:AA)),
  --(FSE!AB:AB="")
)</f>
        <v>3</v>
      </c>
      <c r="J78" s="52" cm="1">
        <f t="array" ref="J78">SUMPRODUCT(
   --ISNUMBER(SEARCH("_T.c", FSE!B:B)),
  --(FSE!Q:Q="NO"),
  --ISNUMBER(SEARCH("Pointer", FSE!AA:AA)),
  --(FSE!AB:AB="")
) +
SUMPRODUCT(
   --ISNUMBER(SEARCH("_NT.c", FSE!B:B)),
  --(FSE!Q:Q="YES"),
  --ISNUMBER(SEARCH("Pointer", FSE!AA:AA)),
  --(FSE!AB:AB="")
)</f>
        <v>0</v>
      </c>
      <c r="K78" s="52" cm="1">
        <f t="array" ref="K78">SUMPRODUCT(
   --ISNUMBER(SEARCH("_T.c", FSE!B:B)),
  --(FSE!S:S=FALSE),
  --ISNUMBER(SEARCH("Pointer", FSE!AA:AA)),
  --(FSE!AB:AB="")
) +
SUMPRODUCT(
   --ISNUMBER(SEARCH("_NT.c", FSE!B:B)),
  --(FSE!S:S=TRUE),
  --ISNUMBER(SEARCH("Pointer", FSE!AA:AA)),
  --(FSE!AB:AB="")
)</f>
        <v>0</v>
      </c>
      <c r="L78" s="52" cm="1">
        <f t="array" ref="L78">SUMPRODUCT(
   --ISNUMBER(SEARCH("_T.c", FSE!B:B)),
  --(FSE!U:U=FALSE),
  --ISNUMBER(SEARCH("Pointer", FSE!AA:AA)),
  --(FSE!AB:AB="")
) +
SUMPRODUCT(
   --ISNUMBER(SEARCH("_NT.c", FSE!B:B)),
  --(FSE!U:U=TRUE),
  --ISNUMBER(SEARCH("Pointer", FSE!AA:AA)),
  --(FSE!AB:AB="")
)</f>
        <v>0</v>
      </c>
      <c r="M78" s="52" cm="1">
        <f t="array" ref="M78">SUMPRODUCT(
   --ISNUMBER(SEARCH("_T.c", FSE!B:B)),
  --(FSE!W:W="no"),
  --ISNUMBER(SEARCH("Pointer", FSE!AA:AA)),
  --(FSE!AB:AB="")
) +
SUMPRODUCT(
   --ISNUMBER(SEARCH("_NT.c", FSE!B:B)),
  --(FSE!W:W="yes"),
  --ISNUMBER(SEARCH("Pointer", FSE!AA:AA)),
  --(FSE!AB:AB="")
)</f>
        <v>0</v>
      </c>
      <c r="N78" s="52" cm="1">
        <f t="array" ref="N78">SUMPRODUCT(
   --ISNUMBER(SEARCH("_T.c", FSE!B:B)),
  --(FSE!Y:Y="NO"),
  --ISNUMBER(SEARCH("Pointer", FSE!AA:AA)),
  --(FSE!AB:AB="")
) +
SUMPRODUCT(
   --ISNUMBER(SEARCH("_NT.c", FSE!B:B)),
  --(FSE!Y:Y="YES"),
  --ISNUMBER(SEARCH("Pointer", FSE!AA:AA)),
  --(FSE!AB:AB="")
)</f>
        <v>4</v>
      </c>
    </row>
    <row r="79" spans="2:25" x14ac:dyDescent="0.2">
      <c r="B79" s="1"/>
      <c r="C79" s="1"/>
      <c r="E79" s="2" t="s">
        <v>832</v>
      </c>
      <c r="F79" s="52" cm="1">
        <f t="array" ref="F79">SUMPRODUCT(--(FSE!C:C="MAYBE"),--ISNUMBER(SEARCH("Pointer",FSE!AA:AA)),--(FSE!AB:AB=""))</f>
        <v>0</v>
      </c>
      <c r="G79" s="52" cm="1">
        <f t="array" ref="G79">SUMPRODUCT(--(FSE!K:K="MAYBE"), --ISNUMBER(SEARCH("Pointer", FSE!AA:AA)), --(FSE!AB:AB=""))</f>
        <v>0</v>
      </c>
      <c r="H79" s="52" cm="1">
        <f t="array" ref="H79">SUMPRODUCT(--(FSE!M:M="MAYBE"), --ISNUMBER(SEARCH("Pointer", FSE!AA:AA)), --(FSE!AB:AB=""))</f>
        <v>0</v>
      </c>
      <c r="I79" s="52" cm="1">
        <f t="array" ref="I79">SUMPRODUCT(--(FSE!O:O="INCONCLUSIVE"), --ISNUMBER(SEARCH("Pointer", FSE!AA:AA)), --(FSE!AB:AB=""))</f>
        <v>5</v>
      </c>
      <c r="J79" s="52" cm="1">
        <f t="array" ref="J79">SUMPRODUCT(--(FSE!Q:Q="MAYBE"), --ISNUMBER(SEARCH("Pointer", FSE!AA:AA)), --(FSE!AB:AB=""))</f>
        <v>13</v>
      </c>
      <c r="K79" s="52" cm="1">
        <f t="array" ref="K79">SUMPRODUCT(--(FSE!S:S="UNKNOWN"), --ISNUMBER(SEARCH("Pointer", FSE!AA:AA)), --(FSE!AB:AB=""))</f>
        <v>1</v>
      </c>
      <c r="L79" s="52" cm="1">
        <f t="array" ref="L79">SUMPRODUCT(--(FSE!U:U="UNKNOWN"), --ISNUMBER(SEARCH("Pointer", FSE!AA:AA)), --(FSE!AB:AB=""))</f>
        <v>8</v>
      </c>
      <c r="M79" s="52" cm="1">
        <f t="array" ref="M79">SUMPRODUCT(--(FSE!W:W="unknown"), --ISNUMBER(SEARCH("Pointer", FSE!AA:AA)), --(FSE!AB:AB=""))</f>
        <v>12</v>
      </c>
      <c r="N79" s="52" cm="1">
        <f t="array" ref="N79">SUMPRODUCT(--(FSE!Y:Y="MAYBE"), --ISNUMBER(SEARCH("Pointer", FSE!AA:AA)), --(FSE!AB:AB=""))</f>
        <v>0</v>
      </c>
      <c r="Q79" s="91"/>
      <c r="S79" s="91"/>
      <c r="U79" s="91"/>
      <c r="W79" s="92"/>
      <c r="Y79" s="92"/>
    </row>
    <row r="80" spans="2:25" x14ac:dyDescent="0.2">
      <c r="B80" s="1"/>
      <c r="C80" s="1"/>
      <c r="E80" s="2" t="s">
        <v>831</v>
      </c>
      <c r="F80" s="52" cm="1">
        <f t="array" ref="F80">SUMPRODUCT(--(FSE!C:C="TIMEOUT"), --ISNUMBER(SEARCH("Pointer", FSE!AA:AA)), --(FSE!AB:AB=""))</f>
        <v>11</v>
      </c>
      <c r="G80" s="52" cm="1">
        <f t="array" ref="G80">SUMPRODUCT(--(FSE!K:K="TIMEOUT"), --ISNUMBER(SEARCH("Pointer", FSE!AA:AA)), --(FSE!AB:AB=""))</f>
        <v>11</v>
      </c>
      <c r="H80" s="52" cm="1">
        <f t="array" ref="H80">SUMPRODUCT(--(FSE!M:M="TIMEOUT"), --ISNUMBER(SEARCH("Pointer", FSE!AA:AA)), --(FSE!AB:AB=""))</f>
        <v>11</v>
      </c>
      <c r="I80" s="52" cm="1">
        <f t="array" ref="I80">SUMPRODUCT(--(FSE!O:O="Terminated"), --ISNUMBER(SEARCH("Pointer", FSE!AA:AA)), --(FSE!AB:AB=""))</f>
        <v>0</v>
      </c>
      <c r="J80" s="52" cm="1">
        <f t="array" ref="J80">SUMPRODUCT(--(FSE!Q:Q="TIMEOUT"), --ISNUMBER(SEARCH("Pointer", FSE!AA:AA)), --(FSE!AB:AB=""))</f>
        <v>1</v>
      </c>
      <c r="K80" s="52" cm="1">
        <f t="array" ref="K80">SUMPRODUCT(--(FSE!S:S="TIMEOUT"), --ISNUMBER(SEARCH("Pointer", FSE!AA:AA)), --(FSE!AB:AB=""))</f>
        <v>9</v>
      </c>
      <c r="L80" s="52" cm="1">
        <f t="array" ref="L80">SUMPRODUCT(--(FSE!U:U="TIMEOUT"), --ISNUMBER(SEARCH("Pointer", FSE!AA:AA)), --(FSE!AB:AB=""))</f>
        <v>0</v>
      </c>
      <c r="M80" s="52" cm="1">
        <f t="array" ref="M80">SUMPRODUCT(--(FSE!W:W="timeout"), --ISNUMBER(SEARCH("Pointer", FSE!AA:AA)), --(FSE!AB:AB=""))</f>
        <v>0</v>
      </c>
      <c r="N80" s="52" cm="1">
        <f t="array" ref="N80">SUMPRODUCT(--(FSE!Y:Y="TIMEOUT"), --ISNUMBER(SEARCH("Pointer", FSE!AA:AA)), --(FSE!AB:AB=""))</f>
        <v>0</v>
      </c>
      <c r="O80" s="2" t="s">
        <v>891</v>
      </c>
      <c r="P80" s="2" t="s">
        <v>830</v>
      </c>
      <c r="Q80" s="91"/>
      <c r="S80" s="91"/>
      <c r="U80" s="91"/>
      <c r="W80" s="91"/>
      <c r="Y80" s="91"/>
    </row>
    <row r="81" spans="2:25" x14ac:dyDescent="0.2">
      <c r="B81" s="50"/>
      <c r="C81" s="50"/>
      <c r="D81" s="34"/>
      <c r="E81" s="34" t="s">
        <v>830</v>
      </c>
      <c r="F81" s="53" cm="1">
        <f t="array" ref="F81">SUMPRODUCT((--((FSE!C:C="ERROR")+(FSE!C:C="OOM ERROR"))),--ISNUMBER(SEARCH("Pointer",FSE!AA:AA)),--(FSE!AB:AB=""))</f>
        <v>0</v>
      </c>
      <c r="G81" s="98" cm="1">
        <f t="array" ref="G81">SUMPRODUCT((--((FSE!K:K="ERROR") + (FSE!K:K="OOM ERROR"))), --ISNUMBER(SEARCH("Pointer", FSE!AA:AA)), --(FSE!AB:AB=""))</f>
        <v>1</v>
      </c>
      <c r="H81" s="53" cm="1">
        <f t="array" ref="H81">SUMPRODUCT((--((FSE!M:M="ERROR") + (FSE!M:M="OOM ERROR"))), --ISNUMBER(SEARCH("Pointer", FSE!AA:AA)), --(FSE!AB:AB=""))</f>
        <v>0</v>
      </c>
      <c r="I81" s="53" cm="1">
        <f t="array" ref="I81">SUMPRODUCT(--(FSE!O:O="INTERNAL-ERROR"), --ISNUMBER(SEARCH("Pointer", FSE!AA:AA)), --(FSE!AB:AB=""))</f>
        <v>0</v>
      </c>
      <c r="J81" s="53" cm="1">
        <f t="array" ref="J81">SUMPRODUCT(--(FSE!Q:Q="ERROR"), --ISNUMBER(SEARCH("Pointer", FSE!AA:AA)), --(FSE!AB:AB=""))</f>
        <v>0</v>
      </c>
      <c r="K81" s="53" cm="1">
        <f t="array" ref="K81">SUMPRODUCT(--(FSE!S:S="ERROR"), --ISNUMBER(SEARCH("Pointer", FSE!AA:AA)), --(FSE!AB:AB=""))</f>
        <v>1</v>
      </c>
      <c r="L81" s="53" cm="1">
        <f t="array" ref="L81">SUMPRODUCT(--(FSE!U:U="ERROR"), --ISNUMBER(SEARCH("Pointer", FSE!AA:AA)), --(FSE!AB:AB=""))</f>
        <v>6</v>
      </c>
      <c r="M81" s="53" cm="1">
        <f t="array" ref="M81">SUMPRODUCT(--(FSE!W:W="error"), --ISNUMBER(SEARCH("Pointer", FSE!AA:AA)), --(FSE!AB:AB=""))</f>
        <v>2</v>
      </c>
      <c r="N81" s="53" cm="1">
        <f t="array" ref="N81">SUMPRODUCT(--(FSE!Y:Y="ERROR"), --ISNUMBER(SEARCH("Pointer", FSE!AA:AA)), --(FSE!AB:AB=""))</f>
        <v>6</v>
      </c>
      <c r="O81" s="75" cm="1">
        <f t="array" ref="O81">SUMPRODUCT((--((FSE!K:K="ERROR"))), --ISNUMBER(SEARCH("Pointer", FSE!AA:AA)), --(FSE!AB:AB=""))</f>
        <v>0</v>
      </c>
      <c r="P81" s="75" cm="1">
        <f t="array" ref="P81">SUMPRODUCT((--((FSE!K:K="OOM ERROR"))), --ISNUMBER(SEARCH("Pointer", FSE!AA:AA)), --(FSE!AB:AB=""))</f>
        <v>1</v>
      </c>
      <c r="Q81" s="52"/>
      <c r="S81" s="52"/>
      <c r="U81" s="52"/>
      <c r="W81" s="52"/>
      <c r="Y81" s="52"/>
    </row>
    <row r="82" spans="2:25" x14ac:dyDescent="0.2">
      <c r="B82" s="1" t="s">
        <v>98</v>
      </c>
      <c r="C82" s="1"/>
      <c r="D82" s="2" cm="1">
        <f t="array" ref="D82">SUMPRODUCT(--ISNUMBER(SEARCH("Array", FSE!AA:AA)), --(FSE!AB:AB=""))</f>
        <v>16</v>
      </c>
      <c r="E82" s="51" t="s">
        <v>839</v>
      </c>
      <c r="F82" s="54" cm="1">
        <f t="array" ref="F82">SUMPRODUCT(
   --ISNUMBER(SEARCH("_T.c", FSE!B:B)),
  --(FSE!C:C="YES"),
  --ISNUMBER(SEARCH("Array", FSE!AA:AA)),
  --(FSE!AB:AB="")
) +
SUMPRODUCT(
   --ISNUMBER(SEARCH("_NT.c", FSE!B:B)),
  --(FSE!C:C="NO"),
  --ISNUMBER(SEARCH("Array", FSE!AA:AA)),
  --(FSE!AB:AB="")
)</f>
        <v>4</v>
      </c>
      <c r="G82" s="54" cm="1">
        <f t="array" ref="G82">SUMPRODUCT(
   --ISNUMBER(SEARCH("_T.c", FSE!B:B)),
  --(FSE!K:K="YES"),
  --ISNUMBER(SEARCH("Array", FSE!AA:AA)),
  --(FSE!AB:AB="")
) +
SUMPRODUCT(
   --ISNUMBER(SEARCH("_NT.c", FSE!B:B)),
  --(FSE!K:K="NO"),
  --ISNUMBER(SEARCH("Array", FSE!AA:AA)),
  --(FSE!AB:AB="")
)</f>
        <v>5</v>
      </c>
      <c r="H82" s="54" cm="1">
        <f t="array" ref="H82">SUMPRODUCT(
   --ISNUMBER(SEARCH("_T.c", FSE!B:B)),
  --(FSE!M:M="YES"),
  --ISNUMBER(SEARCH("Array", FSE!AA:AA)),
  --(FSE!AB:AB="")
) +
SUMPRODUCT(
   --ISNUMBER(SEARCH("_NT.c", FSE!B:B)),
  --(FSE!M:M="NO"),
  --ISNUMBER(SEARCH("Array", FSE!AA:AA)),
  --(FSE!AB:AB="")
)</f>
        <v>6</v>
      </c>
      <c r="I82" s="54" cm="1">
        <f t="array" ref="I82">SUMPRODUCT(
   --ISNUMBER(SEARCH("_T.c", FSE!B:B)),
  --(FSE!O:O=TRUE),
  --ISNUMBER(SEARCH("Array", FSE!AA:AA)),
  --(FSE!AB:AB="")
) +
SUMPRODUCT(
   --ISNUMBER(SEARCH("_NT.c", FSE!B:B)),
  --(FSE!O:O=FALSE),
  --ISNUMBER(SEARCH("Array", FSE!AA:AA)),
  --(FSE!AB:AB="")
)</f>
        <v>8</v>
      </c>
      <c r="J82" s="54" cm="1">
        <f t="array" ref="J82">SUMPRODUCT(
   --ISNUMBER(SEARCH("_T.c", FSE!B:B)),
  --(FSE!Q:Q="YES"),
  --ISNUMBER(SEARCH("Array", FSE!AA:AA)),
  --(FSE!AB:AB="")
) +
SUMPRODUCT(
   --ISNUMBER(SEARCH("_NT.c", FSE!B:B)),
  --(FSE!Q:Q="NO"),
  --ISNUMBER(SEARCH("Array", FSE!AA:AA)),
  --(FSE!AB:AB="")
)</f>
        <v>2</v>
      </c>
      <c r="K82" s="54" cm="1">
        <f t="array" ref="K82">SUMPRODUCT(
   --ISNUMBER(SEARCH("_T.c", FSE!B:B)),
  --(FSE!S:S=TRUE),
  --ISNUMBER(SEARCH("Array", FSE!AA:AA)),
  --(FSE!AB:AB="")
) +
SUMPRODUCT(
   --ISNUMBER(SEARCH("_NT.c", FSE!B:B)),
  --(FSE!S:S=FALSE),
  --ISNUMBER(SEARCH("Array", FSE!AA:AA)),
  --(FSE!AB:AB="")
)</f>
        <v>7</v>
      </c>
      <c r="L82" s="54" cm="1">
        <f t="array" ref="L82">SUMPRODUCT(
   --ISNUMBER(SEARCH("_T.c", FSE!B:B)),
  --(FSE!U:U=TRUE),
  --ISNUMBER(SEARCH("Array", FSE!AA:AA)),
  --(FSE!AB:AB="")
) +
SUMPRODUCT(
   --ISNUMBER(SEARCH("_NT.c", FSE!B:B)),
  --(FSE!U:U=FALSE),
  --ISNUMBER(SEARCH("Array", FSE!AA:AA)),
  --(FSE!AB:AB="")
)</f>
        <v>0</v>
      </c>
      <c r="M82" s="54" cm="1">
        <f t="array" ref="M82">SUMPRODUCT(
   --ISNUMBER(SEARCH("_T.c", FSE!B:B)),
  --(FSE!W:W="yes"),
  --ISNUMBER(SEARCH("Array", FSE!AA:AA)),
  --(FSE!AB:AB="")
) +
SUMPRODUCT(
   --ISNUMBER(SEARCH("_NT.c", FSE!B:B)),
  --(FSE!W:W="no"),
  --ISNUMBER(SEARCH("Array", FSE!AA:AA)),
  --(FSE!AB:AB="")
)</f>
        <v>3</v>
      </c>
      <c r="N82" s="54" cm="1">
        <f t="array" ref="N82">SUMPRODUCT(
   --ISNUMBER(SEARCH("_T.c", FSE!B:B)),
  --(FSE!Y:Y="YES"),
  --ISNUMBER(SEARCH("Array", FSE!AA:AA)),
  --(FSE!AB:AB="")
) +
SUMPRODUCT(
   --ISNUMBER(SEARCH("_NT.c", FSE!B:B)),
  --(FSE!Y:Y="NO"),
  --ISNUMBER(SEARCH("Array", FSE!AA:AA)),
  --(FSE!AB:AB="")
)</f>
        <v>7</v>
      </c>
      <c r="Q82" s="52"/>
      <c r="S82" s="52"/>
      <c r="U82" s="52"/>
      <c r="W82" s="52"/>
      <c r="Y82" s="52"/>
    </row>
    <row r="83" spans="2:25" x14ac:dyDescent="0.2">
      <c r="B83" s="1"/>
      <c r="C83" s="1"/>
      <c r="E83" s="2" t="s">
        <v>829</v>
      </c>
      <c r="F83" s="52" cm="1">
        <f t="array" ref="F83">SUMPRODUCT(
   --ISNUMBER(SEARCH("_T.c", FSE!B:B)),
  --(FSE!C:C="NO"),
  --ISNUMBER(SEARCH("Array", FSE!AA:AA)),
  --(FSE!AB:AB="")
) +
SUMPRODUCT(
   --ISNUMBER(SEARCH("_NT.c", FSE!B:B)),
  --(FSE!C:C="YES"),
  --ISNUMBER(SEARCH("Array", FSE!AA:AA)),
  --(FSE!AB:AB="")
)</f>
        <v>0</v>
      </c>
      <c r="G83" s="52" cm="1">
        <f t="array" ref="G83">SUMPRODUCT(
   --ISNUMBER(SEARCH("_T.c", FSE!B:B)),
  --(FSE!K:K="NO"),
  --ISNUMBER(SEARCH("Array", FSE!AA:AA)),
  --(FSE!AB:AB="")
) +
SUMPRODUCT(
   --ISNUMBER(SEARCH("_NT.c", FSE!B:B)),
  --(FSE!K:K="YES"),
  --ISNUMBER(SEARCH("Array", FSE!AA:AA)),
  --(FSE!AB:AB="")
)</f>
        <v>0</v>
      </c>
      <c r="H83" s="52" cm="1">
        <f t="array" ref="H83">SUMPRODUCT(
   --ISNUMBER(SEARCH("_T.c", FSE!B:B)),
  --(FSE!M:M="NO"),
  --ISNUMBER(SEARCH("Array", FSE!AA:AA)),
  --(FSE!AB:AB="")
) +
SUMPRODUCT(
   --ISNUMBER(SEARCH("_NT.c", FSE!B:B)),
  --(FSE!M:M="YES"),
  --ISNUMBER(SEARCH("Array", FSE!AA:AA)),
  --(FSE!AB:AB="")
)</f>
        <v>0</v>
      </c>
      <c r="I83" s="52" cm="1">
        <f t="array" ref="I83">SUMPRODUCT(
   --ISNUMBER(SEARCH("_T.c", FSE!B:B)),
  --(FSE!O:O=FALSE),
  --ISNUMBER(SEARCH("Array", FSE!AA:AA)),
  --(FSE!AB:AB="")
) +
SUMPRODUCT(
   --ISNUMBER(SEARCH("_NT.c", FSE!B:B)),
  --(FSE!O:O=TRUE),
  --ISNUMBER(SEARCH("Array", FSE!AA:AA)),
  --(FSE!AB:AB="")
)</f>
        <v>1</v>
      </c>
      <c r="J83" s="52" cm="1">
        <f t="array" ref="J83">SUMPRODUCT(
   --ISNUMBER(SEARCH("_T.c", FSE!B:B)),
  --(FSE!Q:Q="NO"),
  --ISNUMBER(SEARCH("Array", FSE!AA:AA)),
  --(FSE!AB:AB="")
) +
SUMPRODUCT(
   --ISNUMBER(SEARCH("_NT.c", FSE!B:B)),
  --(FSE!Q:Q="YES"),
  --ISNUMBER(SEARCH("Array", FSE!AA:AA)),
  --(FSE!AB:AB="")
)</f>
        <v>0</v>
      </c>
      <c r="K83" s="52" cm="1">
        <f t="array" ref="K83">SUMPRODUCT(
   --ISNUMBER(SEARCH("_T.c", FSE!B:B)),
  --(FSE!S:S=FALSE),
  --ISNUMBER(SEARCH("Array", FSE!AA:AA)),
  --(FSE!AB:AB="")
) +
SUMPRODUCT(
   --ISNUMBER(SEARCH("_NT.c", FSE!B:B)),
  --(FSE!S:S=TRUE),
  --ISNUMBER(SEARCH("Array", FSE!AA:AA)),
  --(FSE!AB:AB="")
)</f>
        <v>0</v>
      </c>
      <c r="L83" s="52" cm="1">
        <f t="array" ref="L83">SUMPRODUCT(
   --ISNUMBER(SEARCH("_T.c", FSE!B:B)),
  --(FSE!U:U=FALSE),
  --ISNUMBER(SEARCH("Array", FSE!AA:AA)),
  --(FSE!AB:AB="")
) +
SUMPRODUCT(
   --ISNUMBER(SEARCH("_NT.c", FSE!B:B)),
  --(FSE!U:U=TRUE),
  --ISNUMBER(SEARCH("Array", FSE!AA:AA)),
  --(FSE!AB:AB="")
)</f>
        <v>0</v>
      </c>
      <c r="M83" s="52" cm="1">
        <f t="array" ref="M83">SUMPRODUCT(
   --ISNUMBER(SEARCH("_T.c", FSE!B:B)),
  --(FSE!W:W="no"),
  --ISNUMBER(SEARCH("Array", FSE!AA:AA)),
  --(FSE!AB:AB="")
) +
SUMPRODUCT(
   --ISNUMBER(SEARCH("_NT.c", FSE!B:B)),
  --(FSE!W:W="yes"),
  --ISNUMBER(SEARCH("Array", FSE!AA:AA)),
  --(FSE!AB:AB="")
)</f>
        <v>0</v>
      </c>
      <c r="N83" s="52" cm="1">
        <f t="array" ref="N83">SUMPRODUCT(
   --ISNUMBER(SEARCH("_T.c", FSE!B:B)),
  --(FSE!Y:Y="NO"),
  --ISNUMBER(SEARCH("Array", FSE!AA:AA)),
  --(FSE!AB:AB="")
) +
SUMPRODUCT(
   --ISNUMBER(SEARCH("_NT.c", FSE!B:B)),
  --(FSE!Y:Y="YES"),
  --ISNUMBER(SEARCH("Array", FSE!AA:AA)),
  --(FSE!AB:AB="")
)</f>
        <v>3</v>
      </c>
      <c r="Q83" s="52"/>
      <c r="S83" s="52"/>
      <c r="U83" s="52"/>
      <c r="W83" s="52"/>
      <c r="Y83" s="52"/>
    </row>
    <row r="84" spans="2:25" x14ac:dyDescent="0.2">
      <c r="B84" s="1"/>
      <c r="C84" s="1"/>
      <c r="E84" s="2" t="s">
        <v>832</v>
      </c>
      <c r="F84" s="52" cm="1">
        <f t="array" ref="F84">SUMPRODUCT(--(FSE!C:C="MAYBE"), --ISNUMBER(SEARCH("Array", FSE!AA:AA)), --(FSE!AB:AB=""))</f>
        <v>0</v>
      </c>
      <c r="G84" s="52" cm="1">
        <f t="array" ref="G84">SUMPRODUCT(--(FSE!K:K="MAYBE"), --ISNUMBER(SEARCH("Array", FSE!AA:AA)), --(FSE!AB:AB=""))</f>
        <v>0</v>
      </c>
      <c r="H84" s="52" cm="1">
        <f t="array" ref="H84">SUMPRODUCT(--(FSE!M:M="MAYBE"), --ISNUMBER(SEARCH("Array", FSE!AA:AA)), --(FSE!AB:AB=""))</f>
        <v>0</v>
      </c>
      <c r="I84" s="52" cm="1">
        <f t="array" ref="I84">SUMPRODUCT(--(FSE!O:O="INCONCLUSIVE"), --ISNUMBER(SEARCH("Array", FSE!AA:AA)), --(FSE!AB:AB=""))</f>
        <v>7</v>
      </c>
      <c r="J84" s="52" cm="1">
        <f t="array" ref="J84">SUMPRODUCT(--(FSE!Q:Q="MAYBE"), --ISNUMBER(SEARCH("Array", FSE!AA:AA)), --(FSE!AB:AB=""))</f>
        <v>13</v>
      </c>
      <c r="K84" s="52" cm="1">
        <f t="array" ref="K84">SUMPRODUCT(--(FSE!S:S="UNKNOWN"), --ISNUMBER(SEARCH("Array", FSE!AA:AA)), --(FSE!AB:AB=""))</f>
        <v>3</v>
      </c>
      <c r="L84" s="52" cm="1">
        <f t="array" ref="L84">SUMPRODUCT(--(FSE!U:U="UNKNOWN"), --ISNUMBER(SEARCH("Array", FSE!AA:AA)), --(FSE!AB:AB=""))</f>
        <v>14</v>
      </c>
      <c r="M84" s="52" cm="1">
        <f t="array" ref="M84">SUMPRODUCT(--(FSE!W:W="unknown"), --ISNUMBER(SEARCH("Array", FSE!AA:AA)), --(FSE!AB:AB=""))</f>
        <v>11</v>
      </c>
      <c r="N84" s="52" cm="1">
        <f t="array" ref="N84">SUMPRODUCT(--(FSE!Y:Y="MAYBE"), --ISNUMBER(SEARCH("Array", FSE!AA:AA)), --(FSE!AB:AB=""))</f>
        <v>0</v>
      </c>
      <c r="Q84" s="52"/>
      <c r="S84" s="52"/>
      <c r="U84" s="52"/>
      <c r="W84" s="52"/>
      <c r="Y84" s="52"/>
    </row>
    <row r="85" spans="2:25" x14ac:dyDescent="0.2">
      <c r="B85" s="1"/>
      <c r="C85" s="1"/>
      <c r="E85" s="2" t="s">
        <v>831</v>
      </c>
      <c r="F85" s="52" cm="1">
        <f t="array" ref="F85">SUMPRODUCT(--(FSE!C:C="TIMEOUT"), --ISNUMBER(SEARCH("Array", FSE!AA:AA)), --(FSE!AB:AB=""))</f>
        <v>12</v>
      </c>
      <c r="G85" s="52" cm="1">
        <f t="array" ref="G85">SUMPRODUCT(--(FSE!K:K="TIMEOUT"), --ISNUMBER(SEARCH("Array", FSE!AA:AA)), --(FSE!AB:AB=""))</f>
        <v>11</v>
      </c>
      <c r="H85" s="52" cm="1">
        <f t="array" ref="H85">SUMPRODUCT(--(FSE!M:M="TIMEOUT"), --ISNUMBER(SEARCH("Array", FSE!AA:AA)), --(FSE!AB:AB=""))</f>
        <v>10</v>
      </c>
      <c r="I85" s="52" cm="1">
        <f t="array" ref="I85">SUMPRODUCT(--(FSE!O:O="Terminated"), --ISNUMBER(SEARCH("Array", FSE!AA:AA)), --(FSE!AB:AB=""))</f>
        <v>0</v>
      </c>
      <c r="J85" s="52" cm="1">
        <f t="array" ref="J85">SUMPRODUCT(--(FSE!Q:Q="TIMEOUT"), --ISNUMBER(SEARCH("Array", FSE!AA:AA)), --(FSE!AB:AB=""))</f>
        <v>1</v>
      </c>
      <c r="K85" s="52" cm="1">
        <f t="array" ref="K85">SUMPRODUCT(--(FSE!S:S="TIMEOUT"), --ISNUMBER(SEARCH("Array", FSE!AA:AA)), --(FSE!AB:AB=""))</f>
        <v>6</v>
      </c>
      <c r="L85" s="52" cm="1">
        <f t="array" ref="L85">SUMPRODUCT(--(FSE!U:U="TIMEOUT"), --ISNUMBER(SEARCH("Array", FSE!AA:AA)), --(FSE!AB:AB=""))</f>
        <v>0</v>
      </c>
      <c r="M85" s="52" cm="1">
        <f t="array" ref="M85">SUMPRODUCT(--(FSE!W:W="timeout"), --ISNUMBER(SEARCH("Array", FSE!AA:AA)), --(FSE!AB:AB=""))</f>
        <v>0</v>
      </c>
      <c r="N85" s="52" cm="1">
        <f t="array" ref="N85">SUMPRODUCT(--(FSE!Y:Y="TIMEOUT"), --ISNUMBER(SEARCH("Array", FSE!AA:AA)), --(FSE!AB:AB=""))</f>
        <v>2</v>
      </c>
      <c r="Q85" s="52"/>
      <c r="S85" s="52"/>
      <c r="U85" s="52"/>
      <c r="W85" s="52"/>
      <c r="Y85" s="52"/>
    </row>
    <row r="86" spans="2:25" x14ac:dyDescent="0.2">
      <c r="B86" s="50"/>
      <c r="C86" s="50"/>
      <c r="D86" s="34"/>
      <c r="E86" s="34" t="s">
        <v>830</v>
      </c>
      <c r="F86" s="53" cm="1">
        <f t="array" ref="F86">SUMPRODUCT((--((FSE!C:C="ERROR") + (FSE!C:C="OOM ERROR"))), --ISNUMBER(SEARCH("Array", FSE!AA:AA)), --(FSE!AB:AB=""))</f>
        <v>0</v>
      </c>
      <c r="G86" s="53" cm="1">
        <f t="array" ref="G86">SUMPRODUCT((--((FSE!K:K="ERROR") + (FSE!K:K="OOM ERROR"))), --ISNUMBER(SEARCH("Array", FSE!AA:AA)), --(FSE!AB:AB=""))</f>
        <v>0</v>
      </c>
      <c r="H86" s="53" cm="1">
        <f t="array" ref="H86">SUMPRODUCT((--((FSE!M:M="ERROR") + (FSE!M:M="OOM ERROR"))), --ISNUMBER(SEARCH("Array", FSE!AA:AA)), --(FSE!AB:AB=""))</f>
        <v>0</v>
      </c>
      <c r="I86" s="53" cm="1">
        <f t="array" ref="I86">SUMPRODUCT(--(FSE!O:O="INTERNAL-ERROR"), --ISNUMBER(SEARCH("Array", FSE!AA:AA)), --(FSE!AB:AB=""))</f>
        <v>0</v>
      </c>
      <c r="J86" s="53" cm="1">
        <f t="array" ref="J86">SUMPRODUCT(--(FSE!Q:Q="ERROR"), --ISNUMBER(SEARCH("Array", FSE!AA:AA)), --(FSE!AB:AB=""))</f>
        <v>0</v>
      </c>
      <c r="K86" s="53" cm="1">
        <f t="array" ref="K86">SUMPRODUCT(--(FSE!S:S="ERROR"), --ISNUMBER(SEARCH("Array", FSE!AA:AA)), --(FSE!AB:AB=""))</f>
        <v>0</v>
      </c>
      <c r="L86" s="53" cm="1">
        <f t="array" ref="L86">SUMPRODUCT(--(FSE!U:U="ERROR"), --ISNUMBER(SEARCH("Array", FSE!AA:AA)), --(FSE!AB:AB=""))</f>
        <v>2</v>
      </c>
      <c r="M86" s="53" cm="1">
        <f t="array" ref="M86">SUMPRODUCT(--(FSE!W:W="error"), --ISNUMBER(SEARCH("Array", FSE!AA:AA)), --(FSE!AB:AB=""))</f>
        <v>2</v>
      </c>
      <c r="N86" s="53" cm="1">
        <f t="array" ref="N86">SUMPRODUCT(--(FSE!Y:Y="ERROR"), --ISNUMBER(SEARCH("Array", FSE!AA:AA)), --(FSE!AB:AB=""))</f>
        <v>4</v>
      </c>
      <c r="Q86" s="52"/>
      <c r="S86" s="52"/>
      <c r="U86" s="52"/>
      <c r="W86" s="52"/>
      <c r="Y86" s="52"/>
    </row>
    <row r="87" spans="2:25" x14ac:dyDescent="0.2">
      <c r="B87" s="1" t="s">
        <v>861</v>
      </c>
      <c r="C87" s="1"/>
      <c r="D87" s="2" cm="1">
        <f t="array" ref="D87">SUMPRODUCT(--ISNUMBER(SEARCH("Structure", FSE!AA:AA)), --(FSE!AB:AB=""))</f>
        <v>6</v>
      </c>
      <c r="E87" s="51" t="s">
        <v>839</v>
      </c>
      <c r="F87" s="54" cm="1">
        <f t="array" ref="F87">SUMPRODUCT(
   --ISNUMBER(SEARCH("_T.c", FSE!B:B)),
  --(FSE!C:C="YES"),
  --ISNUMBER(SEARCH("Structure", FSE!AA:AA)),
  --(FSE!AB:AB="")
) +
SUMPRODUCT(
   --ISNUMBER(SEARCH("_NT.c", FSE!B:B)),
  --(FSE!C:C="NO"),
  --ISNUMBER(SEARCH("Structure", FSE!AA:AA)),
  --(FSE!AB:AB="")
)</f>
        <v>2</v>
      </c>
      <c r="G87" s="54" cm="1">
        <f t="array" ref="G87">SUMPRODUCT(
   --ISNUMBER(SEARCH("_T.c", FSE!B:B)),
  --(FSE!K:K="YES"),
  --ISNUMBER(SEARCH("Structure", FSE!AA:AA)),
  --(FSE!AB:AB="")
) +
SUMPRODUCT(
   --ISNUMBER(SEARCH("_NT.c", FSE!B:B)),
  --(FSE!K:K="NO"),
  --ISNUMBER(SEARCH("Structure", FSE!AA:AA)),
  --(FSE!AB:AB="")
)</f>
        <v>2</v>
      </c>
      <c r="H87" s="54" cm="1">
        <f t="array" ref="H87">SUMPRODUCT(
   --ISNUMBER(SEARCH("_T.c", FSE!B:B)),
  --(FSE!M:M="YES"),
  --ISNUMBER(SEARCH("Structure", FSE!AA:AA)),
  --(FSE!AB:AB="")
) +
SUMPRODUCT(
   --ISNUMBER(SEARCH("_NT.c", FSE!B:B)),
  --(FSE!M:M="NO"),
  --ISNUMBER(SEARCH("Structure", FSE!AA:AA)),
  --(FSE!AB:AB="")
)</f>
        <v>2</v>
      </c>
      <c r="I87" s="54" cm="1">
        <f t="array" ref="I87">SUMPRODUCT(
   --ISNUMBER(SEARCH("_T.c", FSE!B:B)),
  --(FSE!O:O=TRUE),
  --ISNUMBER(SEARCH("Structure", FSE!AA:AA)),
  --(FSE!AB:AB="")
) +
SUMPRODUCT(
   --ISNUMBER(SEARCH("_NT.c", FSE!B:B)),
  --(FSE!O:O=FALSE),
  --ISNUMBER(SEARCH("Structure", FSE!AA:AA)),
  --(FSE!AB:AB="")
)</f>
        <v>4</v>
      </c>
      <c r="J87" s="54" cm="1">
        <f t="array" ref="J87">SUMPRODUCT(
   --ISNUMBER(SEARCH("_T.c", FSE!B:B)),
  --(FSE!Q:Q="YES"),
  --ISNUMBER(SEARCH("Structure", FSE!AA:AA)),
  --(FSE!AB:AB="")
) +
SUMPRODUCT(
   --ISNUMBER(SEARCH("_NT.c", FSE!B:B)),
  --(FSE!Q:Q="NO"),
  --ISNUMBER(SEARCH("Structure", FSE!AA:AA)),
  --(FSE!AB:AB="")
)</f>
        <v>0</v>
      </c>
      <c r="K87" s="54" cm="1">
        <f t="array" ref="K87">SUMPRODUCT(
   --ISNUMBER(SEARCH("_T.c", FSE!B:B)),
  --(FSE!S:S=TRUE),
  --ISNUMBER(SEARCH("Structure", FSE!AA:AA)),
  --(FSE!AB:AB="")
) +
SUMPRODUCT(
   --ISNUMBER(SEARCH("_NT.c", FSE!B:B)),
  --(FSE!S:S=FALSE),
  --ISNUMBER(SEARCH("Structure", FSE!AA:AA)),
  --(FSE!AB:AB="")
)</f>
        <v>2</v>
      </c>
      <c r="L87" s="54" cm="1">
        <f t="array" ref="L87">SUMPRODUCT(
   --ISNUMBER(SEARCH("_T.c", FSE!B:B)),
  --(FSE!U:U=TRUE),
  --ISNUMBER(SEARCH("Structure", FSE!AA:AA)),
  --(FSE!AB:AB="")
) +
SUMPRODUCT(
   --ISNUMBER(SEARCH("_NT.c", FSE!B:B)),
  --(FSE!U:U=FALSE),
  --ISNUMBER(SEARCH("Structure", FSE!AA:AA)),
  --(FSE!AB:AB="")
)</f>
        <v>0</v>
      </c>
      <c r="M87" s="54" cm="1">
        <f t="array" ref="M87">SUMPRODUCT(
   --ISNUMBER(SEARCH("_T.c", FSE!B:B)),
  --(FSE!W:W="yes"),
  --ISNUMBER(SEARCH("Structure", FSE!AA:AA)),
  --(FSE!AB:AB="")
) +
SUMPRODUCT(
   --ISNUMBER(SEARCH("_NT.c", FSE!B:B)),
  --(FSE!W:W="no"),
  --ISNUMBER(SEARCH("Structure", FSE!AA:AA)),
  --(FSE!AB:AB="")
)</f>
        <v>0</v>
      </c>
      <c r="N87" s="54" cm="1">
        <f t="array" ref="N87">SUMPRODUCT(
   --ISNUMBER(SEARCH("_T.c", FSE!B:B)),
  --(FSE!Y:Y="YES"),
  --ISNUMBER(SEARCH("Structure", FSE!AA:AA)),
  --(FSE!AB:AB="")
) +
SUMPRODUCT(
   --ISNUMBER(SEARCH("_NT.c", FSE!B:B)),
  --(FSE!Y:Y="NO"),
  --ISNUMBER(SEARCH("Structure", FSE!AA:AA)),
  --(FSE!AB:AB="")
)</f>
        <v>1</v>
      </c>
      <c r="Q87" s="52"/>
      <c r="S87" s="52"/>
      <c r="U87" s="52"/>
      <c r="W87" s="52"/>
      <c r="Y87" s="52"/>
    </row>
    <row r="88" spans="2:25" x14ac:dyDescent="0.2">
      <c r="B88" s="1"/>
      <c r="C88" s="1"/>
      <c r="E88" s="2" t="s">
        <v>829</v>
      </c>
      <c r="F88" s="52" cm="1">
        <f t="array" ref="F88">SUMPRODUCT(
   --ISNUMBER(SEARCH("_T.c", FSE!B:B)),
  --(FSE!C:C="NO"),
  --ISNUMBER(SEARCH("Structure", FSE!AA:AA)),
  --(FSE!AB:AB="")
) +
SUMPRODUCT(
   --ISNUMBER(SEARCH("_NT.c", FSE!B:B)),
  --(FSE!C:C="YES"),
  --ISNUMBER(SEARCH("Structure", FSE!AA:AA)),
  --(FSE!AB:AB="")
)</f>
        <v>0</v>
      </c>
      <c r="G88" s="52" cm="1">
        <f t="array" ref="G88">SUMPRODUCT(
   --ISNUMBER(SEARCH("_T.c", FSE!B:B)),
  --(FSE!K:K="NO"),
  --ISNUMBER(SEARCH("Structure", FSE!AA:AA)),
  --(FSE!AB:AB="")
) +
SUMPRODUCT(
   --ISNUMBER(SEARCH("_NT.c", FSE!B:B)),
  --(FSE!K:K="YES"),
  --ISNUMBER(SEARCH("Structure", FSE!AA:AA)),
  --(FSE!AB:AB="")
)</f>
        <v>0</v>
      </c>
      <c r="H88" s="52" cm="1">
        <f t="array" ref="H88">SUMPRODUCT(
   --ISNUMBER(SEARCH("_T.c", FSE!B:B)),
  --(FSE!M:M="NO"),
  --ISNUMBER(SEARCH("Structure", FSE!AA:AA)),
  --(FSE!AB:AB="")
) +
SUMPRODUCT(
   --ISNUMBER(SEARCH("_NT.c", FSE!B:B)),
  --(FSE!M:M="YES"),
  --ISNUMBER(SEARCH("Structure", FSE!AA:AA)),
  --(FSE!AB:AB="")
)</f>
        <v>0</v>
      </c>
      <c r="I88" s="52" cm="1">
        <f t="array" ref="I88">SUMPRODUCT(
   --ISNUMBER(SEARCH("_T.c", FSE!B:B)),
  --(FSE!O:O=FALSE),
  --ISNUMBER(SEARCH("Structure", FSE!AA:AA)),
  --(FSE!AB:AB="")
) +
SUMPRODUCT(
   --ISNUMBER(SEARCH("_NT.c", FSE!B:B)),
  --(FSE!O:O=TRUE),
  --ISNUMBER(SEARCH("Structure", FSE!AA:AA)),
  --(FSE!AB:AB="")
)</f>
        <v>2</v>
      </c>
      <c r="J88" s="52" cm="1">
        <f t="array" ref="J88">SUMPRODUCT(
   --ISNUMBER(SEARCH("_T.c", FSE!B:B)),
  --(FSE!Q:Q="NO"),
  --ISNUMBER(SEARCH("Structure", FSE!AA:AA)),
  --(FSE!AB:AB="")
) +
SUMPRODUCT(
   --ISNUMBER(SEARCH("_NT.c", FSE!B:B)),
  --(FSE!Q:Q="YES"),
  --ISNUMBER(SEARCH("Structure", FSE!AA:AA)),
  --(FSE!AB:AB="")
)</f>
        <v>0</v>
      </c>
      <c r="K88" s="52" cm="1">
        <f t="array" ref="K88">SUMPRODUCT(
   --ISNUMBER(SEARCH("_T.c", FSE!B:B)),
  --(FSE!S:S=FALSE),
  --ISNUMBER(SEARCH("Structure", FSE!AA:AA)),
  --(FSE!AB:AB="")
) +
SUMPRODUCT(
   --ISNUMBER(SEARCH("_NT.c", FSE!B:B)),
  --(FSE!S:S=TRUE),
  --ISNUMBER(SEARCH("Structure", FSE!AA:AA)),
  --(FSE!AB:AB="")
)</f>
        <v>0</v>
      </c>
      <c r="L88" s="52" cm="1">
        <f t="array" ref="L88">SUMPRODUCT(
   --ISNUMBER(SEARCH("_T.c", FSE!B:B)),
  --(FSE!U:U=FALSE),
  --ISNUMBER(SEARCH("Structure", FSE!AA:AA)),
  --(FSE!AB:AB="")
) +
SUMPRODUCT(
   --ISNUMBER(SEARCH("_NT.c", FSE!B:B)),
  --(FSE!U:U=TRUE),
  --ISNUMBER(SEARCH("Structure", FSE!AA:AA)),
  --(FSE!AB:AB="")
)</f>
        <v>0</v>
      </c>
      <c r="M88" s="52" cm="1">
        <f t="array" ref="M88">SUMPRODUCT(
   --ISNUMBER(SEARCH("_T.c", FSE!B:B)),
  --(FSE!W:W="no"),
  --ISNUMBER(SEARCH("Structure", FSE!AA:AA)),
  --(FSE!AB:AB="")
) +
SUMPRODUCT(
   --ISNUMBER(SEARCH("_NT.c", FSE!B:B)),
  --(FSE!W:W="yes"),
  --ISNUMBER(SEARCH("Structure", FSE!AA:AA)),
  --(FSE!AB:AB="")
)</f>
        <v>0</v>
      </c>
      <c r="N88" s="52" cm="1">
        <f t="array" ref="N88">SUMPRODUCT(
   --ISNUMBER(SEARCH("_T.c", FSE!B:B)),
  --(FSE!Y:Y="NO"),
  --ISNUMBER(SEARCH("Structure", FSE!AA:AA)),
  --(FSE!AB:AB="")
) +
SUMPRODUCT(
   --ISNUMBER(SEARCH("_NT.c", FSE!B:B)),
  --(FSE!Y:Y="YES"),
  --ISNUMBER(SEARCH("Structure", FSE!AA:AA)),
  --(FSE!AB:AB="")
)</f>
        <v>1</v>
      </c>
      <c r="Q88" s="52"/>
      <c r="S88" s="52"/>
      <c r="U88" s="52"/>
      <c r="W88" s="52"/>
      <c r="Y88" s="52"/>
    </row>
    <row r="89" spans="2:25" x14ac:dyDescent="0.2">
      <c r="B89" s="1"/>
      <c r="C89" s="1"/>
      <c r="E89" s="2" t="s">
        <v>832</v>
      </c>
      <c r="F89" s="52" cm="1">
        <f t="array" ref="F89">SUMPRODUCT(--(FSE!C:C="MAYBE"), --ISNUMBER(SEARCH("Structure", FSE!AA:AA)), --(FSE!AB:AB=""))</f>
        <v>0</v>
      </c>
      <c r="G89" s="52" cm="1">
        <f t="array" ref="G89">SUMPRODUCT(--(FSE!K:K="MAYBE"), --ISNUMBER(SEARCH("Structure", FSE!AA:AA)), --(FSE!AB:AB=""))</f>
        <v>0</v>
      </c>
      <c r="H89" s="52" cm="1">
        <f t="array" ref="H89">SUMPRODUCT(--(FSE!M:M="MAYBE"),--ISNUMBER(SEARCH("Structure",FSE!AA:AA)), --(FSE!AB:AB=""))</f>
        <v>0</v>
      </c>
      <c r="I89" s="52" cm="1">
        <f t="array" ref="I89">SUMPRODUCT(--(FSE!O:O="INCONCLUSIVE"), --ISNUMBER(SEARCH("Structure", FSE!AA:AA)), --(FSE!AB:AB=""))</f>
        <v>0</v>
      </c>
      <c r="J89" s="52" cm="1">
        <f t="array" ref="J89">SUMPRODUCT(--(FSE!Q:Q="MAYBE"), --ISNUMBER(SEARCH("Structure", FSE!AA:AA)), --(FSE!AB:AB=""))</f>
        <v>6</v>
      </c>
      <c r="K89" s="52" cm="1">
        <f t="array" ref="K89">SUMPRODUCT(--(FSE!S:S="UNKNOWN"), --ISNUMBER(SEARCH("Structure", FSE!AA:AA)), --(FSE!AB:AB=""))</f>
        <v>0</v>
      </c>
      <c r="L89" s="52" cm="1">
        <f t="array" ref="L89">SUMPRODUCT(--(FSE!U:U="UNKNOWN"), --ISNUMBER(SEARCH("Structure", FSE!AA:AA)), --(FSE!AB:AB=""))</f>
        <v>0</v>
      </c>
      <c r="M89" s="52" cm="1">
        <f t="array" ref="M89">SUMPRODUCT(--(FSE!W:W="unknown"), --ISNUMBER(SEARCH("Structure", FSE!AA:AA)), --(FSE!AB:AB=""))</f>
        <v>6</v>
      </c>
      <c r="N89" s="52" cm="1">
        <f t="array" ref="N89">SUMPRODUCT(--(FSE!Y:Y="MAYBE"), --ISNUMBER(SEARCH("Structure", FSE!AA:AA)), --(FSE!AB:AB=""))</f>
        <v>0</v>
      </c>
      <c r="Q89" s="52"/>
      <c r="S89" s="52"/>
      <c r="U89" s="52"/>
      <c r="W89" s="52"/>
      <c r="Y89" s="52"/>
    </row>
    <row r="90" spans="2:25" x14ac:dyDescent="0.2">
      <c r="B90" s="1"/>
      <c r="C90" s="1"/>
      <c r="E90" s="2" t="s">
        <v>831</v>
      </c>
      <c r="F90" s="52" cm="1">
        <f t="array" ref="F90">SUMPRODUCT(--(FSE!C:C="TIMEOUT"), --ISNUMBER(SEARCH("Structure", FSE!AA:AA)), --(FSE!AB:AB=""))</f>
        <v>4</v>
      </c>
      <c r="G90" s="52" cm="1">
        <f t="array" ref="G90">SUMPRODUCT(--(FSE!K:K="TIMEOUT"), --ISNUMBER(SEARCH("Structure", FSE!AA:AA)), --(FSE!AB:AB=""))</f>
        <v>3</v>
      </c>
      <c r="H90" s="52" cm="1">
        <f t="array" ref="H90">SUMPRODUCT(--(FSE!M:M="TIMEOUT"), --ISNUMBER(SEARCH("Structure", FSE!AA:AA)), --(FSE!AB:AB=""))</f>
        <v>4</v>
      </c>
      <c r="I90" s="52" cm="1">
        <f t="array" ref="I90">SUMPRODUCT(--(FSE!O:O="Terminated"), --ISNUMBER(SEARCH("Structure", FSE!AA:AA)), --(FSE!AB:AB=""))</f>
        <v>0</v>
      </c>
      <c r="J90" s="52" cm="1">
        <f t="array" ref="J90">SUMPRODUCT(--(FSE!Q:Q="TIMEOUT"), --ISNUMBER(SEARCH("Structure", FSE!AA:AA)), --(FSE!AB:AB=""))</f>
        <v>0</v>
      </c>
      <c r="K90" s="52" cm="1">
        <f t="array" ref="K90">SUMPRODUCT(--(FSE!S:S="TIMEOUT"), --ISNUMBER(SEARCH("Structure", FSE!AA:AA)), --(FSE!AB:AB=""))</f>
        <v>3</v>
      </c>
      <c r="L90" s="52" cm="1">
        <f t="array" ref="L90">SUMPRODUCT(--(FSE!U:U="TIMEOUT"), --ISNUMBER(SEARCH("Structure", FSE!AA:AA)), --(FSE!AB:AB=""))</f>
        <v>0</v>
      </c>
      <c r="M90" s="52" cm="1">
        <f t="array" ref="M90">SUMPRODUCT(--(FSE!W:W="timeout"), --ISNUMBER(SEARCH("Structure", FSE!AA:AA)), --(FSE!AB:AB=""))</f>
        <v>0</v>
      </c>
      <c r="N90" s="52" cm="1">
        <f t="array" ref="N90">SUMPRODUCT(--(FSE!Y:Y="TIMEOUT"), --ISNUMBER(SEARCH("Structure", FSE!AA:AA)), --(FSE!AB:AB=""))</f>
        <v>0</v>
      </c>
      <c r="O90" s="2" t="s">
        <v>891</v>
      </c>
      <c r="P90" s="2" t="s">
        <v>830</v>
      </c>
      <c r="Q90" s="52"/>
      <c r="S90" s="52"/>
      <c r="U90" s="52"/>
      <c r="W90" s="52"/>
      <c r="Y90" s="52"/>
    </row>
    <row r="91" spans="2:25" x14ac:dyDescent="0.2">
      <c r="B91" s="50"/>
      <c r="C91" s="50"/>
      <c r="D91" s="34"/>
      <c r="E91" s="34" t="s">
        <v>830</v>
      </c>
      <c r="F91" s="53" cm="1">
        <f t="array" ref="F91">SUMPRODUCT((--((FSE!C:C="ERROR") + (FSE!C:C="OOM ERROR"))), --ISNUMBER(SEARCH("Structure", FSE!AA:AA)), --(FSE!AB:AB=""))</f>
        <v>0</v>
      </c>
      <c r="G91" s="98" cm="1">
        <f t="array" ref="G91">SUMPRODUCT((--((FSE!K:K="ERROR") + (FSE!K:K="OOM ERROR"))), --ISNUMBER(SEARCH("Structure", FSE!AA:AA)), --(FSE!AB:AB=""))</f>
        <v>1</v>
      </c>
      <c r="H91" s="53" cm="1">
        <f t="array" ref="H91">SUMPRODUCT((--((FSE!M:M="ERROR") + (FSE!M:M="OOM ERROR"))), --ISNUMBER(SEARCH("Structure", FSE!AA:AA)), --(FSE!AB:AB=""))</f>
        <v>0</v>
      </c>
      <c r="I91" s="53" cm="1">
        <f t="array" ref="I91">SUMPRODUCT(--(FSE!O:O="INTERNAL-ERROR"), --ISNUMBER(SEARCH("Structure", FSE!AA:AA)), --(FSE!AB:AB=""))</f>
        <v>0</v>
      </c>
      <c r="J91" s="53" cm="1">
        <f t="array" ref="J91">SUMPRODUCT(--(FSE!Q:Q="ERROR"), --ISNUMBER(SEARCH("Structure", FSE!AA:AA)), --(FSE!AB:AB=""))</f>
        <v>0</v>
      </c>
      <c r="K91" s="53" cm="1">
        <f t="array" ref="K91">SUMPRODUCT(--(FSE!S:S="ERROR"), --ISNUMBER(SEARCH("Structure", FSE!AA:AA)), --(FSE!AB:AB=""))</f>
        <v>1</v>
      </c>
      <c r="L91" s="53" cm="1">
        <f t="array" ref="L91">SUMPRODUCT(--(FSE!U:U="ERROR"), --ISNUMBER(SEARCH("Structure", FSE!AA:AA)), --(FSE!AB:AB=""))</f>
        <v>6</v>
      </c>
      <c r="M91" s="53" cm="1">
        <f t="array" ref="M91">SUMPRODUCT(--(FSE!W:W="error"), --ISNUMBER(SEARCH("Structure", FSE!AA:AA)), --(FSE!AB:AB=""))</f>
        <v>0</v>
      </c>
      <c r="N91" s="53" cm="1">
        <f t="array" ref="N91">SUMPRODUCT(--(FSE!Y:Y="ERROR"), --ISNUMBER(SEARCH("Structure", FSE!AA:AA)), --(FSE!AB:AB=""))</f>
        <v>4</v>
      </c>
      <c r="O91" s="75" cm="1">
        <f t="array" ref="O91">SUMPRODUCT((--((FSE!K:K="ERROR"))), --ISNUMBER(SEARCH("Structure", FSE!AA:AA)), --(FSE!AB:AB=""))</f>
        <v>0</v>
      </c>
      <c r="P91" s="75" cm="1">
        <f t="array" ref="P91">SUMPRODUCT((--((FSE!K:K="OOM ERROR"))), --ISNUMBER(SEARCH("Structure", FSE!AA:AA)), --(FSE!AB:AB=""))</f>
        <v>1</v>
      </c>
      <c r="Q91" s="52"/>
      <c r="S91" s="52"/>
      <c r="U91" s="52"/>
      <c r="W91" s="52"/>
      <c r="Y91" s="52"/>
    </row>
    <row r="92" spans="2:25" x14ac:dyDescent="0.2">
      <c r="B92" s="1" t="s">
        <v>102</v>
      </c>
      <c r="C92" s="1"/>
      <c r="D92" s="2" cm="1">
        <f t="array" ref="D92">SUMPRODUCT(--ISNUMBER(SEARCH("Bit Calculation", FSE!AA:AA)), --(FSE!AB:AB=""))</f>
        <v>8</v>
      </c>
      <c r="E92" s="51" t="s">
        <v>839</v>
      </c>
      <c r="F92" s="54" cm="1">
        <f t="array" ref="F92">SUMPRODUCT(
   --ISNUMBER(SEARCH("_T.c", FSE!B:B)),
  --(FSE!C:C="YES"),
  --ISNUMBER(SEARCH("Bit Calculation", FSE!AA:AA)),
  --(FSE!AB:AB="")
) +
SUMPRODUCT(
   --ISNUMBER(SEARCH("_NT.c", FSE!B:B)),
  --(FSE!C:C="NO"),
  --ISNUMBER(SEARCH("Bit Calculation", FSE!AA:AA)),
  --(FSE!AB:AB="")
)</f>
        <v>8</v>
      </c>
      <c r="G92" s="54" cm="1">
        <f t="array" ref="G92">SUMPRODUCT(
   --ISNUMBER(SEARCH("_T.c", FSE!B:B)),
  --(FSE!K:K="YES"),
  --ISNUMBER(SEARCH("Bit Calculation", FSE!AA:AA)),
  --(FSE!AB:AB="")
) +
SUMPRODUCT(
   --ISNUMBER(SEARCH("_NT.c", FSE!B:B)),
  --(FSE!K:K="NO"),
  --ISNUMBER(SEARCH("Bit Calculation", FSE!AA:AA)),
  --(FSE!AB:AB="")
)</f>
        <v>0</v>
      </c>
      <c r="H92" s="54" cm="1">
        <f t="array" ref="H92">SUMPRODUCT(
   --ISNUMBER(SEARCH("_T.c", FSE!B:B)),
  --(FSE!M:M="YES"),
  --ISNUMBER(SEARCH("Bit Calculation", FSE!AA:AA)),
  --(FSE!AB:AB="")
) +
SUMPRODUCT(
   --ISNUMBER(SEARCH("_NT.c", FSE!B:B)),
  --(FSE!M:M="NO"),
  --ISNUMBER(SEARCH("Bit Calculation", FSE!AA:AA)),
  --(FSE!AB:AB="")
)</f>
        <v>8</v>
      </c>
      <c r="I92" s="54" cm="1">
        <f t="array" ref="I92">SUMPRODUCT(
   --ISNUMBER(SEARCH("_T.c", FSE!B:B)),
  --(FSE!O:O=TRUE),
  --ISNUMBER(SEARCH("Bit Calculation", FSE!AA:AA)),
  --(FSE!AB:AB="")
) +
SUMPRODUCT(
   --ISNUMBER(SEARCH("_NT.c", FSE!B:B)),
  --(FSE!O:O=FALSE),
  --ISNUMBER(SEARCH("Bit Calculation", FSE!AA:AA)),
  --(FSE!AB:AB="")
)</f>
        <v>7</v>
      </c>
      <c r="J92" s="54" cm="1">
        <f t="array" ref="J92">SUMPRODUCT(
   --ISNUMBER(SEARCH("_T.c", FSE!B:B)),
  --(FSE!Q:Q="YES"),
  --ISNUMBER(SEARCH("Bit Calculation", FSE!AA:AA)),
  --(FSE!AB:AB="")
) +
SUMPRODUCT(
   --ISNUMBER(SEARCH("_NT.c", FSE!B:B)),
  --(FSE!Q:Q="NO"),
  --ISNUMBER(SEARCH("Bit Calculation", FSE!AA:AA)),
  --(FSE!AB:AB="")
)</f>
        <v>0</v>
      </c>
      <c r="K92" s="54" cm="1">
        <f t="array" ref="K92">SUMPRODUCT(
   --ISNUMBER(SEARCH("_T.c", FSE!B:B)),
  --(FSE!S:S=TRUE),
  --ISNUMBER(SEARCH("Bit Calculation", FSE!AA:AA)),
  --(FSE!AB:AB="")
) +
SUMPRODUCT(
   --ISNUMBER(SEARCH("_NT.c", FSE!B:B)),
  --(FSE!S:S=FALSE),
  --ISNUMBER(SEARCH("Bit Calculation", FSE!AA:AA)),
  --(FSE!AB:AB="")
)</f>
        <v>4</v>
      </c>
      <c r="L92" s="54" cm="1">
        <f t="array" ref="L92">SUMPRODUCT(
   --ISNUMBER(SEARCH("_T.c", FSE!B:B)),
  --(FSE!U:U=TRUE),
  --ISNUMBER(SEARCH("Bit Calculation", FSE!AA:AA)),
  --(FSE!AB:AB="")
) +
SUMPRODUCT(
   --ISNUMBER(SEARCH("_NT.c", FSE!B:B)),
  --(FSE!U:U=FALSE),
  --ISNUMBER(SEARCH("Bit Calculation", FSE!AA:AA)),
  --(FSE!AB:AB="")
)</f>
        <v>0</v>
      </c>
      <c r="M92" s="54" cm="1">
        <f t="array" ref="M92">SUMPRODUCT(
   --ISNUMBER(SEARCH("_T.c", FSE!B:B)),
  --(FSE!W:W="yes"),
  --ISNUMBER(SEARCH("Bit Calculation", FSE!AA:AA)),
  --(FSE!AB:AB="")
) +
SUMPRODUCT(
   --ISNUMBER(SEARCH("_NT.c", FSE!B:B)),
  --(FSE!W:W="no"),
  --ISNUMBER(SEARCH("Bit Calculation", FSE!AA:AA)),
  --(FSE!AB:AB="")
)</f>
        <v>2</v>
      </c>
      <c r="N92" s="54" cm="1">
        <f t="array" ref="N92">SUMPRODUCT(
   --ISNUMBER(SEARCH("_T.c", FSE!B:B)),
  --(FSE!Y:Y="YES"),
  --ISNUMBER(SEARCH("Bit Calculation", FSE!AA:AA)),
  --(FSE!AB:AB="")
) +
SUMPRODUCT(
   --ISNUMBER(SEARCH("_NT.c", FSE!B:B)),
  --(FSE!Y:Y="NO"),
  --ISNUMBER(SEARCH("Bit Calculation", FSE!AA:AA)),
  --(FSE!AB:AB="")
)</f>
        <v>4</v>
      </c>
      <c r="Q92" s="52"/>
      <c r="S92" s="52"/>
      <c r="U92" s="52"/>
      <c r="W92" s="52"/>
      <c r="Y92" s="52"/>
    </row>
    <row r="93" spans="2:25" x14ac:dyDescent="0.2">
      <c r="B93" s="1"/>
      <c r="C93" s="1"/>
      <c r="E93" s="2" t="s">
        <v>829</v>
      </c>
      <c r="F93" s="52" cm="1">
        <f t="array" ref="F93">SUMPRODUCT(
   --ISNUMBER(SEARCH("_T.c", FSE!B:B)),
  --(FSE!C:C="NO"),
  --ISNUMBER(SEARCH("Bit Calculation", FSE!AA:AA)),
  --(FSE!AB:AB="")
) +
SUMPRODUCT(
   --ISNUMBER(SEARCH("_NT.c", FSE!B:B)),
  --(FSE!C:C="YES"),
  --ISNUMBER(SEARCH("Bit Calculation", FSE!AA:AA)),
  --(FSE!AB:AB="")
)</f>
        <v>0</v>
      </c>
      <c r="G93" s="52" cm="1">
        <f t="array" ref="G93">SUMPRODUCT(
   --ISNUMBER(SEARCH("_T.c", FSE!B:B)),
  --(FSE!K:K="NO"),
  --ISNUMBER(SEARCH("Bit Calculation", FSE!AA:AA)),
  --(FSE!AB:AB="")
) +
SUMPRODUCT(
   --ISNUMBER(SEARCH("_NT.c", FSE!B:B)),
  --(FSE!K:K="YES"),
  --ISNUMBER(SEARCH("Bit Calculation", FSE!AA:AA)),
  --(FSE!AB:AB="")
)</f>
        <v>0</v>
      </c>
      <c r="H93" s="52" cm="1">
        <f t="array" ref="H93">SUMPRODUCT(
   --ISNUMBER(SEARCH("_T.c", FSE!B:B)),
  --(FSE!M:M="NO"),
  --ISNUMBER(SEARCH("Bit Calculation", FSE!AA:AA)),
  --(FSE!AB:AB="")
) +
SUMPRODUCT(
   --ISNUMBER(SEARCH("_NT.c", FSE!B:B)),
  --(FSE!M:M="YES"),
  --ISNUMBER(SEARCH("Bit Calculation", FSE!AA:AA)),
  --(FSE!AB:AB="")
)</f>
        <v>0</v>
      </c>
      <c r="I93" s="52" cm="1">
        <f t="array" ref="I93">SUMPRODUCT(
   --ISNUMBER(SEARCH("_T.c", FSE!B:B)),
  --(FSE!O:O=FALSE),
  --ISNUMBER(SEARCH("Bit Calculation", FSE!AA:AA)),
  --(FSE!AB:AB="")
) +
SUMPRODUCT(
   --ISNUMBER(SEARCH("_NT.c", FSE!B:B)),
  --(FSE!O:O=TRUE),
  --ISNUMBER(SEARCH("Bit Calculation", FSE!AA:AA)),
  --(FSE!AB:AB="")
)</f>
        <v>0</v>
      </c>
      <c r="J93" s="52" cm="1">
        <f t="array" ref="J93">SUMPRODUCT(
   --ISNUMBER(SEARCH("_T.c", FSE!B:B)),
  --(FSE!Q:Q="NO"),
  --ISNUMBER(SEARCH("Bit Calculation", FSE!AA:AA)),
  --(FSE!AB:AB="")
) +
SUMPRODUCT(
   --ISNUMBER(SEARCH("_NT.c", FSE!B:B)),
  --(FSE!Q:Q="YES"),
  --ISNUMBER(SEARCH("Bit Calculation", FSE!AA:AA)),
  --(FSE!AB:AB="")
)</f>
        <v>0</v>
      </c>
      <c r="K93" s="52" cm="1">
        <f t="array" ref="K93">SUMPRODUCT(
   --ISNUMBER(SEARCH("_T.c", FSE!B:B)),
  --(FSE!S:S=FALSE),
  --ISNUMBER(SEARCH("Bit Calculation", FSE!AA:AA)),
  --(FSE!AB:AB="")
) +
SUMPRODUCT(
   --ISNUMBER(SEARCH("_NT.c", FSE!B:B)),
  --(FSE!S:S=TRUE),
  --ISNUMBER(SEARCH("Bit Calculation", FSE!AA:AA)),
  --(FSE!AB:AB="")
)</f>
        <v>0</v>
      </c>
      <c r="L93" s="52" cm="1">
        <f t="array" ref="L93">SUMPRODUCT(
   --ISNUMBER(SEARCH("_T.c", FSE!B:B)),
  --(FSE!U:U=FALSE),
  --ISNUMBER(SEARCH("Bit Calculation", FSE!AA:AA)),
  --(FSE!AB:AB="")
) +
SUMPRODUCT(
   --ISNUMBER(SEARCH("_NT.c", FSE!B:B)),
  --(FSE!U:U=TRUE),
  --ISNUMBER(SEARCH("Bit Calculation", FSE!AA:AA)),
  --(FSE!AB:AB="")
)</f>
        <v>0</v>
      </c>
      <c r="M93" s="52" cm="1">
        <f t="array" ref="M93">SUMPRODUCT(
   --ISNUMBER(SEARCH("_T.c", FSE!B:B)),
  --(FSE!W:W="no"),
  --ISNUMBER(SEARCH("Bit Calculation", FSE!AA:AA)),
  --(FSE!AB:AB="")
) +
SUMPRODUCT(
   --ISNUMBER(SEARCH("_NT.c", FSE!B:B)),
  --(FSE!W:W="yes"),
  --ISNUMBER(SEARCH("Bit Calculation", FSE!AA:AA)),
  --(FSE!AB:AB="")
)</f>
        <v>0</v>
      </c>
      <c r="N93" s="52" cm="1">
        <f t="array" ref="N93">SUMPRODUCT(
   --ISNUMBER(SEARCH("_T.c", FSE!B:B)),
  --(FSE!Y:Y="NO"),
  --ISNUMBER(SEARCH("Bit Calculation", FSE!AA:AA)),
  --(FSE!AB:AB="")
) +
SUMPRODUCT(
   --ISNUMBER(SEARCH("_NT.c", FSE!B:B)),
  --(FSE!Y:Y="YES"),
  --ISNUMBER(SEARCH("Bit Calculation", FSE!AA:AA)),
  --(FSE!AB:AB="")
)</f>
        <v>4</v>
      </c>
      <c r="Q93" s="52"/>
      <c r="S93" s="52"/>
      <c r="U93" s="52"/>
      <c r="W93" s="52"/>
      <c r="Y93" s="52"/>
    </row>
    <row r="94" spans="2:25" x14ac:dyDescent="0.2">
      <c r="B94" s="1"/>
      <c r="C94" s="1"/>
      <c r="E94" s="2" t="s">
        <v>832</v>
      </c>
      <c r="F94" s="52" cm="1">
        <f t="array" ref="F94">SUMPRODUCT(--(FSE!C:C="MAYBE"), --ISNUMBER(SEARCH("Bit Calculation", FSE!AA:AA)), --(FSE!AB:AB=""))</f>
        <v>0</v>
      </c>
      <c r="G94" s="52" cm="1">
        <f t="array" ref="G94">SUMPRODUCT(--(FSE!K:K="MAYBE"), --ISNUMBER(SEARCH("Bit Calculation", FSE!AA:AA)), --(FSE!AB:AB=""))</f>
        <v>0</v>
      </c>
      <c r="H94" s="52" cm="1">
        <f t="array" ref="H94">SUMPRODUCT(--(FSE!M:M="MAYBE"), --ISNUMBER(SEARCH("Bit Calculation", FSE!AA:AA)), --(FSE!AB:AB=""))</f>
        <v>0</v>
      </c>
      <c r="I94" s="52" cm="1">
        <f t="array" ref="I94">SUMPRODUCT(--(FSE!O:O="INCONCLUSIVE"), --ISNUMBER(SEARCH("Bit Calculation", FSE!AA:AA)), --(FSE!AB:AB=""))</f>
        <v>1</v>
      </c>
      <c r="J94" s="52" cm="1">
        <f t="array" ref="J94">SUMPRODUCT(--(FSE!Q:Q="MAYBE"), --ISNUMBER(SEARCH("Bit Calculation", FSE!AA:AA)), --(FSE!AB:AB=""))</f>
        <v>8</v>
      </c>
      <c r="K94" s="52" cm="1">
        <f t="array" ref="K94">SUMPRODUCT(--(FSE!S:S="UNKNOWN"), --ISNUMBER(SEARCH("Bit Calculation", FSE!AA:AA)), --(FSE!AB:AB=""))</f>
        <v>4</v>
      </c>
      <c r="L94" s="52" cm="1">
        <f t="array" ref="L94">SUMPRODUCT(--(FSE!U:U="UNKNOWN"), --ISNUMBER(SEARCH("Bit Calculation", FSE!AA:AA)), --(FSE!AB:AB=""))</f>
        <v>8</v>
      </c>
      <c r="M94" s="52" cm="1">
        <f t="array" ref="M94">SUMPRODUCT(--(FSE!W:W="unknown"), --ISNUMBER(SEARCH("Bit Calculation", FSE!AA:AA)), --(FSE!AB:AB=""))</f>
        <v>6</v>
      </c>
      <c r="N94" s="52" cm="1">
        <f t="array" ref="N94">SUMPRODUCT(--(FSE!Y:Y="MAYBE"), --ISNUMBER(SEARCH("Bit Calculation", FSE!AA:AA)), --(FSE!AB:AB=""))</f>
        <v>0</v>
      </c>
      <c r="Q94" s="52"/>
      <c r="S94" s="52"/>
      <c r="U94" s="52"/>
      <c r="W94" s="52"/>
      <c r="Y94" s="52"/>
    </row>
    <row r="95" spans="2:25" x14ac:dyDescent="0.2">
      <c r="B95" s="1"/>
      <c r="C95" s="1"/>
      <c r="E95" s="2" t="s">
        <v>831</v>
      </c>
      <c r="F95" s="52" cm="1">
        <f t="array" ref="F95">SUMPRODUCT(--(FSE!C:C="TIMEOUT"), --ISNUMBER(SEARCH("Bit Calculation", FSE!AA:AA)), --(FSE!AB:AB=""))</f>
        <v>0</v>
      </c>
      <c r="G95" s="52" cm="1">
        <f t="array" ref="G95">SUMPRODUCT(--(FSE!K:K="TIMEOUT"), --ISNUMBER(SEARCH("Bit Calculation", FSE!AA:AA)), --(FSE!AB:AB=""))</f>
        <v>0</v>
      </c>
      <c r="H95" s="52" cm="1">
        <f t="array" ref="H95">SUMPRODUCT(--(FSE!M:M="TIMEOUT"), --ISNUMBER(SEARCH("Bit Calculation", FSE!AA:AA)), --(FSE!AB:AB=""))</f>
        <v>0</v>
      </c>
      <c r="I95" s="52" cm="1">
        <f t="array" ref="I95">SUMPRODUCT(--(FSE!O:O="Terminated"), --ISNUMBER(SEARCH("Bit Calculation", FSE!AA:AA)), --(FSE!AB:AB=""))</f>
        <v>0</v>
      </c>
      <c r="J95" s="52" cm="1">
        <f t="array" ref="J95">SUMPRODUCT(--(FSE!Q:Q="TIMEOUT"), --ISNUMBER(SEARCH("Bit Calculation", FSE!AA:AA)), --(FSE!AB:AB=""))</f>
        <v>0</v>
      </c>
      <c r="K95" s="52" cm="1">
        <f t="array" ref="K95">SUMPRODUCT(--(FSE!S:S="TIMEOUT"), --ISNUMBER(SEARCH("Bit Calculation", FSE!AA:AA)), --(FSE!AB:AB=""))</f>
        <v>0</v>
      </c>
      <c r="L95" s="52" cm="1">
        <f t="array" ref="L95">SUMPRODUCT(--(FSE!U:U="TIMEOUT"), --ISNUMBER(SEARCH("Bit Calculation", FSE!AA:AA)), --(FSE!AB:AB=""))</f>
        <v>0</v>
      </c>
      <c r="M95" s="52" cm="1">
        <f t="array" ref="M95">SUMPRODUCT(--(FSE!W:W="timeout"), --ISNUMBER(SEARCH("Bit Calculation", FSE!AA:AA)), --(FSE!AB:AB=""))</f>
        <v>0</v>
      </c>
      <c r="N95" s="52" cm="1">
        <f t="array" ref="N95">SUMPRODUCT(--(FSE!Y:Y="TIMEOUT"), --ISNUMBER(SEARCH("Bit Calculation", FSE!AA:AA)), --(FSE!AB:AB=""))</f>
        <v>0</v>
      </c>
      <c r="O95" s="2" t="s">
        <v>891</v>
      </c>
      <c r="P95" s="2" t="s">
        <v>830</v>
      </c>
      <c r="Q95" s="52"/>
      <c r="S95" s="52"/>
      <c r="U95" s="52"/>
      <c r="W95" s="52"/>
      <c r="Y95" s="52"/>
    </row>
    <row r="96" spans="2:25" x14ac:dyDescent="0.2">
      <c r="B96" s="50"/>
      <c r="C96" s="50"/>
      <c r="D96" s="34"/>
      <c r="E96" s="34" t="s">
        <v>830</v>
      </c>
      <c r="F96" s="53" cm="1">
        <f t="array" ref="F96">SUMPRODUCT((--((FSE!C:C="ERROR") + (FSE!C:C="OOM ERROR"))), --ISNUMBER(SEARCH("Bit Calculation", FSE!AA:AA)), --(FSE!AB:AB=""))</f>
        <v>0</v>
      </c>
      <c r="G96" s="98" cm="1">
        <f t="array" ref="G96">SUMPRODUCT((--((FSE!K:K="ERROR") + (FSE!K:K="OOM ERROR"))), --ISNUMBER(SEARCH("Bit Calculation", FSE!AA:AA)), --(FSE!AB:AB=""))</f>
        <v>8</v>
      </c>
      <c r="H96" s="53" cm="1">
        <f t="array" ref="H96">SUMPRODUCT((--((FSE!M:M="ERROR") + (FSE!M:M="OOM ERROR"))), --ISNUMBER(SEARCH("Bit Calculation", FSE!AA:AA)), --(FSE!AB:AB=""))</f>
        <v>0</v>
      </c>
      <c r="I96" s="53" cm="1">
        <f t="array" ref="I96">SUMPRODUCT(--(FSE!O:O="INTERNAL-ERROR"), --ISNUMBER(SEARCH("Bit Calculation", FSE!AA:AA)), --(FSE!AB:AB=""))</f>
        <v>0</v>
      </c>
      <c r="J96" s="53" cm="1">
        <f t="array" ref="J96">SUMPRODUCT(--(FSE!Q:Q="ERROR"), --ISNUMBER(SEARCH("Bit Calculation", FSE!AA:AA)), --(FSE!AB:AB=""))</f>
        <v>0</v>
      </c>
      <c r="K96" s="53" cm="1">
        <f t="array" ref="K96">SUMPRODUCT(--(FSE!S:S="ERROR"), --ISNUMBER(SEARCH("Bit Calculation", FSE!AA:AA)), --(FSE!AB:AB=""))</f>
        <v>0</v>
      </c>
      <c r="L96" s="53" cm="1">
        <f t="array" ref="L96">SUMPRODUCT(--(FSE!U:U="ERROR"), --ISNUMBER(SEARCH("Bit Calculation", FSE!AA:AA)), --(FSE!AB:AB=""))</f>
        <v>0</v>
      </c>
      <c r="M96" s="53" cm="1">
        <f t="array" ref="M96">SUMPRODUCT(--(FSE!W:W="error"), --ISNUMBER(SEARCH("Bit Calculation", FSE!AA:AA)), --(FSE!AB:AB=""))</f>
        <v>0</v>
      </c>
      <c r="N96" s="53" cm="1">
        <f t="array" ref="N96">SUMPRODUCT(--(FSE!Y:Y="ERROR"), --ISNUMBER(SEARCH("Bit Calculation", FSE!AA:AA)), --(FSE!AB:AB=""))</f>
        <v>0</v>
      </c>
      <c r="O96" s="75" cm="1">
        <f t="array" ref="O96">SUMPRODUCT((--((FSE!K:K="ERROR"))), --ISNUMBER(SEARCH("Bit Calculation", FSE!AA:AA)), --(FSE!AB:AB=""))</f>
        <v>8</v>
      </c>
      <c r="P96" s="75" cm="1">
        <f t="array" ref="P96">SUMPRODUCT((--((FSE!K:K="OOM ERROR"))), --ISNUMBER(SEARCH("Bit Calculation", FSE!AA:AA)), --(FSE!AB:AB=""))</f>
        <v>0</v>
      </c>
      <c r="Q96" s="52"/>
      <c r="S96" s="52"/>
      <c r="U96" s="52"/>
      <c r="W96" s="52"/>
      <c r="Y96" s="52"/>
    </row>
    <row r="97" spans="2:25" x14ac:dyDescent="0.2">
      <c r="B97" s="1" t="s">
        <v>863</v>
      </c>
      <c r="C97" s="1"/>
      <c r="D97" s="2" cm="1">
        <f t="array" ref="D97">SUMPRODUCT(--ISNUMBER(SEARCH("Overflow/Underflow", FSE!AA:AA)), --(FSE!AB:AB=""))</f>
        <v>23</v>
      </c>
      <c r="E97" s="51" t="s">
        <v>839</v>
      </c>
      <c r="F97" s="54" cm="1">
        <f t="array" ref="F97">SUMPRODUCT(
   --ISNUMBER(SEARCH("_T.c", FSE!B:B)),
  --(FSE!C:C="YES"),
  --ISNUMBER(SEARCH("Overflow/Underflow", FSE!AA:AA)),
  --(FSE!AB:AB="")
) +
SUMPRODUCT(
   --ISNUMBER(SEARCH("_NT.c", FSE!B:B)),
  --(FSE!C:C="NO"),
  --ISNUMBER(SEARCH("Overflow/Underflow", FSE!AA:AA)),
  --(FSE!AB:AB="")
)</f>
        <v>21</v>
      </c>
      <c r="G97" s="54" cm="1">
        <f t="array" ref="G97">SUMPRODUCT(
   --ISNUMBER(SEARCH("_T.c", FSE!B:B)),
  --(FSE!K:K="YES"),
  --ISNUMBER(SEARCH("Overflow/Underflow", FSE!AA:AA)),
  --(FSE!AB:AB="")
) +
SUMPRODUCT(
   --ISNUMBER(SEARCH("_NT.c", FSE!B:B)),
  --(FSE!K:K="NO"),
  --ISNUMBER(SEARCH("Overflow/Underflow", FSE!AA:AA)),
  --(FSE!AB:AB="")
)</f>
        <v>16</v>
      </c>
      <c r="H97" s="54" cm="1">
        <f t="array" ref="H97">SUMPRODUCT(
   --ISNUMBER(SEARCH("_T.c", FSE!B:B)),
  --(FSE!M:M="YES"),
  --ISNUMBER(SEARCH("Overflow/Underflow", FSE!AA:AA)),
  --(FSE!AB:AB="")
) +
SUMPRODUCT(
   --ISNUMBER(SEARCH("_NT.c", FSE!B:B)),
  --(FSE!M:M="NO"),
  --ISNUMBER(SEARCH("Overflow/Underflow", FSE!AA:AA)),
  --(FSE!AB:AB="")
)</f>
        <v>22</v>
      </c>
      <c r="I97" s="54" cm="1">
        <f t="array" ref="I97">SUMPRODUCT(
   --ISNUMBER(SEARCH("_T.c", FSE!B:B)),
  --(FSE!O:O=TRUE),
  --ISNUMBER(SEARCH("Overflow/Underflow", FSE!AA:AA)),
  --(FSE!AB:AB="")
) +
SUMPRODUCT(
   --ISNUMBER(SEARCH("_NT.c", FSE!B:B)),
  --(FSE!O:O=FALSE),
  --ISNUMBER(SEARCH("Overflow/Underflow", FSE!AA:AA)),
  --(FSE!AB:AB="")
)</f>
        <v>18</v>
      </c>
      <c r="J97" s="54" cm="1">
        <f t="array" ref="J97">SUMPRODUCT(
   --ISNUMBER(SEARCH("_T.c", FSE!B:B)),
  --(FSE!Q:Q="YES"),
  --ISNUMBER(SEARCH("Overflow/Underflow", FSE!AA:AA)),
  --(FSE!AB:AB="")
) +
SUMPRODUCT(
   --ISNUMBER(SEARCH("_NT.c", FSE!B:B)),
  --(FSE!Q:Q="NO"),
  --ISNUMBER(SEARCH("Overflow/Underflow", FSE!AA:AA)),
  --(FSE!AB:AB="")
)</f>
        <v>9</v>
      </c>
      <c r="K97" s="54" cm="1">
        <f t="array" ref="K97">SUMPRODUCT(
   --ISNUMBER(SEARCH("_T.c", FSE!B:B)),
  --(FSE!S:S=TRUE),
  --ISNUMBER(SEARCH("Overflow/Underflow", FSE!AA:AA)),
  --(FSE!AB:AB="")
) +
SUMPRODUCT(
   --ISNUMBER(SEARCH("_NT.c", FSE!B:B)),
  --(FSE!S:S=FALSE),
  --ISNUMBER(SEARCH("Overflow/Underflow", FSE!AA:AA)),
  --(FSE!AB:AB="")
)</f>
        <v>7</v>
      </c>
      <c r="L97" s="54" cm="1">
        <f t="array" ref="L97">SUMPRODUCT(
   --ISNUMBER(SEARCH("_T.c", FSE!B:B)),
  --(FSE!U:U=TRUE),
  --ISNUMBER(SEARCH("Overflow/Underflow", FSE!AA:AA)),
  --(FSE!AB:AB="")
) +
SUMPRODUCT(
   --ISNUMBER(SEARCH("_NT.c", FSE!B:B)),
  --(FSE!U:U=FALSE),
  --ISNUMBER(SEARCH("Overflow/Underflow", FSE!AA:AA)),
  --(FSE!AB:AB="")
)</f>
        <v>5</v>
      </c>
      <c r="M97" s="54" cm="1">
        <f t="array" ref="M97">SUMPRODUCT(
   --ISNUMBER(SEARCH("_T.c", FSE!B:B)),
  --(FSE!W:W="yes"),
  --ISNUMBER(SEARCH("Overflow/Underflow", FSE!AA:AA)),
  --(FSE!AB:AB="")
) +
SUMPRODUCT(
   --ISNUMBER(SEARCH("_NT.c", FSE!B:B)),
  --(FSE!W:W="no"),
  --ISNUMBER(SEARCH("Overflow/Underflow", FSE!AA:AA)),
  --(FSE!AB:AB="")
)</f>
        <v>9</v>
      </c>
      <c r="N97" s="54" cm="1">
        <f t="array" ref="N97">SUMPRODUCT(
   --ISNUMBER(SEARCH("_T.c", FSE!B:B)),
  --(FSE!Y:Y="YES"),
  --ISNUMBER(SEARCH("Overflow/Underflow", FSE!AA:AA)),
  --(FSE!AB:AB="")
) +
SUMPRODUCT(
   --ISNUMBER(SEARCH("_NT.c", FSE!B:B)),
  --(FSE!Y:Y="NO"),
  --ISNUMBER(SEARCH("Overflow/Underflow", FSE!AA:AA)),
  --(FSE!AB:AB="")
)</f>
        <v>16</v>
      </c>
      <c r="Q97" s="52"/>
      <c r="S97" s="52"/>
      <c r="U97" s="52"/>
      <c r="W97" s="52"/>
      <c r="Y97" s="52"/>
    </row>
    <row r="98" spans="2:25" x14ac:dyDescent="0.2">
      <c r="B98" s="1"/>
      <c r="C98" s="1"/>
      <c r="E98" s="2" t="s">
        <v>829</v>
      </c>
      <c r="F98" s="52" cm="1">
        <f t="array" ref="F98">SUMPRODUCT(
   --ISNUMBER(SEARCH("_T.c", FSE!B:B)),
  --(FSE!C:C="NO"),
  --ISNUMBER(SEARCH("Overflow/Underflow", FSE!AA:AA)),
  --(FSE!AB:AB="")
) +
SUMPRODUCT(
   --ISNUMBER(SEARCH("_NT.c", FSE!B:B)),
  --(FSE!C:C="YES"),
  --ISNUMBER(SEARCH("Overflow/Underflow", FSE!AA:AA)),
  --(FSE!AB:AB="")
)</f>
        <v>0</v>
      </c>
      <c r="G98" s="52" cm="1">
        <f t="array" ref="G98">SUMPRODUCT(
   --ISNUMBER(SEARCH("_T.c", FSE!B:B)),
  --(FSE!K:K="NO"),
  --ISNUMBER(SEARCH("Overflow/Underflow", FSE!AA:AA)),
  --(FSE!AB:AB="")
) +
SUMPRODUCT(
   --ISNUMBER(SEARCH("_NT.c", FSE!B:B)),
  --(FSE!K:K="YES"),
  --ISNUMBER(SEARCH("Overflow/Underflow", FSE!AA:AA)),
  --(FSE!AB:AB="")
)</f>
        <v>0</v>
      </c>
      <c r="H98" s="52" cm="1">
        <f t="array" ref="H98">SUMPRODUCT(
   --ISNUMBER(SEARCH("_T.c", FSE!B:B)),
  --(FSE!M:M="NO"),
  --ISNUMBER(SEARCH("Overflow/Underflow", FSE!AA:AA)),
  --(FSE!AB:AB="")
) +
SUMPRODUCT(
   --ISNUMBER(SEARCH("_NT.c", FSE!B:B)),
  --(FSE!M:M="YES"),
  --ISNUMBER(SEARCH("Overflow/Underflow", FSE!AA:AA)),
  --(FSE!AB:AB="")
)</f>
        <v>0</v>
      </c>
      <c r="I98" s="52" cm="1">
        <f t="array" ref="I98">SUMPRODUCT(
   --ISNUMBER(SEARCH("_T.c", FSE!B:B)),
  --(FSE!O:O=FALSE),
  --ISNUMBER(SEARCH("Overflow/Underflow", FSE!AA:AA)),
  --(FSE!AB:AB="")
) +
SUMPRODUCT(
   --ISNUMBER(SEARCH("_NT.c", FSE!B:B)),
  --(FSE!O:O=TRUE),
  --ISNUMBER(SEARCH("Overflow/Underflow", FSE!AA:AA)),
  --(FSE!AB:AB="")
)</f>
        <v>4</v>
      </c>
      <c r="J98" s="52" cm="1">
        <f t="array" ref="J98">SUMPRODUCT(
   --ISNUMBER(SEARCH("_T.c", FSE!B:B)),
  --(FSE!Q:Q="NO"),
  --ISNUMBER(SEARCH("Overflow/Underflow", FSE!AA:AA)),
  --(FSE!AB:AB="")
) +
SUMPRODUCT(
   --ISNUMBER(SEARCH("_NT.c", FSE!B:B)),
  --(FSE!Q:Q="YES"),
  --ISNUMBER(SEARCH("Overflow/Underflow", FSE!AA:AA)),
  --(FSE!AB:AB="")
)</f>
        <v>3</v>
      </c>
      <c r="K98" s="52" cm="1">
        <f t="array" ref="K98">SUMPRODUCT(
   --ISNUMBER(SEARCH("_T.c", FSE!B:B)),
  --(FSE!S:S=FALSE),
  --ISNUMBER(SEARCH("Overflow/Underflow", FSE!AA:AA)),
  --(FSE!AB:AB="")
) +
SUMPRODUCT(
   --ISNUMBER(SEARCH("_NT.c", FSE!B:B)),
  --(FSE!S:S=TRUE),
  --ISNUMBER(SEARCH("Overflow/Underflow", FSE!AA:AA)),
  --(FSE!AB:AB="")
)</f>
        <v>0</v>
      </c>
      <c r="L98" s="52" cm="1">
        <f t="array" ref="L98">SUMPRODUCT(
   --ISNUMBER(SEARCH("_T.c", FSE!B:B)),
  --(FSE!U:U=FALSE),
  --ISNUMBER(SEARCH("Overflow/Underflow", FSE!AA:AA)),
  --(FSE!AB:AB="")
) +
SUMPRODUCT(
   --ISNUMBER(SEARCH("_NT.c", FSE!B:B)),
  --(FSE!U:U=TRUE),
  --ISNUMBER(SEARCH("Overflow/Underflow", FSE!AA:AA)),
  --(FSE!AB:AB="")
)</f>
        <v>4</v>
      </c>
      <c r="M98" s="52" cm="1">
        <f t="array" ref="M98">SUMPRODUCT(
   --ISNUMBER(SEARCH("_T.c", FSE!B:B)),
  --(FSE!W:W="no"),
  --ISNUMBER(SEARCH("Overflow/Underflow", FSE!AA:AA)),
  --(FSE!AB:AB="")
) +
SUMPRODUCT(
   --ISNUMBER(SEARCH("_NT.c", FSE!B:B)),
  --(FSE!W:W="yes"),
  --ISNUMBER(SEARCH("Overflow/Underflow", FSE!AA:AA)),
  --(FSE!AB:AB="")
)</f>
        <v>0</v>
      </c>
      <c r="N98" s="52" cm="1">
        <f t="array" ref="N98">SUMPRODUCT(
   --ISNUMBER(SEARCH("_T.c", FSE!B:B)),
  --(FSE!Y:Y="NO"),
  --ISNUMBER(SEARCH("Overflow/Underflow", FSE!AA:AA)),
  --(FSE!AB:AB="")
) +
SUMPRODUCT(
   --ISNUMBER(SEARCH("_NT.c", FSE!B:B)),
  --(FSE!Y:Y="YES"),
  --ISNUMBER(SEARCH("Overflow/Underflow", FSE!AA:AA)),
  --(FSE!AB:AB="")
)</f>
        <v>4</v>
      </c>
      <c r="Q98" s="52"/>
      <c r="S98" s="52"/>
      <c r="U98" s="52"/>
      <c r="W98" s="52"/>
      <c r="Y98" s="52"/>
    </row>
    <row r="99" spans="2:25" x14ac:dyDescent="0.2">
      <c r="B99" s="1"/>
      <c r="C99" s="1"/>
      <c r="E99" s="2" t="s">
        <v>832</v>
      </c>
      <c r="F99" s="52" cm="1">
        <f t="array" ref="F99">SUMPRODUCT(--(FSE!C:C="MAYBE"), --ISNUMBER(SEARCH("Overflow/Underflow", FSE!AA:AA)), --(FSE!AB:AB=""))</f>
        <v>0</v>
      </c>
      <c r="G99" s="52" cm="1">
        <f t="array" ref="G99">SUMPRODUCT(--(FSE!K:K="MAYBE"), --ISNUMBER(SEARCH("Overflow/Underflow", FSE!AA:AA)), --(FSE!AB:AB=""))</f>
        <v>0</v>
      </c>
      <c r="H99" s="52" cm="1">
        <f t="array" ref="H99">SUMPRODUCT(--(FSE!M:M="MAYBE"), --ISNUMBER(SEARCH("Overflow/Underflow", FSE!AA:AA)), --(FSE!AB:AB=""))</f>
        <v>0</v>
      </c>
      <c r="I99" s="52" cm="1">
        <f t="array" ref="I99">SUMPRODUCT(--(FSE!O:O="INCONCLUSIVE"), --ISNUMBER(SEARCH("Overflow/Underflow", FSE!AA:AA)), --(FSE!AB:AB=""))</f>
        <v>1</v>
      </c>
      <c r="J99" s="52" cm="1">
        <f t="array" ref="J99">SUMPRODUCT(--(FSE!Q:Q="MAYBE"), --ISNUMBER(SEARCH("Overflow/Underflow", FSE!AA:AA)), --(FSE!AB:AB=""))</f>
        <v>7</v>
      </c>
      <c r="K99" s="52" cm="1">
        <f t="array" ref="K99">SUMPRODUCT(--(FSE!S:S="UNKNOWN"), --ISNUMBER(SEARCH("Overflow/Underflow", FSE!AA:AA)), --(FSE!AB:AB=""))</f>
        <v>13</v>
      </c>
      <c r="L99" s="52" cm="1">
        <f t="array" ref="L99">SUMPRODUCT(--(FSE!U:U="UNKNOWN"), --ISNUMBER(SEARCH("Overflow/Underflow", FSE!AA:AA)), --(FSE!AB:AB=""))</f>
        <v>11</v>
      </c>
      <c r="M99" s="52" cm="1">
        <f t="array" ref="M99">SUMPRODUCT(--(FSE!W:W="unknown"), --ISNUMBER(SEARCH("Overflow/Underflow", FSE!AA:AA)), --(FSE!AB:AB=""))</f>
        <v>14</v>
      </c>
      <c r="N99" s="52" cm="1">
        <f t="array" ref="N99">SUMPRODUCT(--(FSE!Y:Y="MAYBE"), --ISNUMBER(SEARCH("Overflow/Underflow", FSE!AA:AA)), --(FSE!AB:AB=""))</f>
        <v>0</v>
      </c>
      <c r="Q99" s="52"/>
      <c r="S99" s="52"/>
      <c r="U99" s="52"/>
      <c r="W99" s="52"/>
      <c r="Y99" s="52"/>
    </row>
    <row r="100" spans="2:25" x14ac:dyDescent="0.2">
      <c r="B100" s="1"/>
      <c r="C100" s="1"/>
      <c r="E100" s="2" t="s">
        <v>831</v>
      </c>
      <c r="F100" s="52" cm="1">
        <f t="array" ref="F100">SUMPRODUCT(--(FSE!C:C="TIMEOUT"), --ISNUMBER(SEARCH("Overflow/Underflow", FSE!AA:AA)), --(FSE!AB:AB=""))</f>
        <v>2</v>
      </c>
      <c r="G100" s="52" cm="1">
        <f t="array" ref="G100">SUMPRODUCT(--(FSE!K:K="TIMEOUT"), --ISNUMBER(SEARCH("Overflow/Underflow", FSE!AA:AA)), --(FSE!AB:AB=""))</f>
        <v>7</v>
      </c>
      <c r="H100" s="52" cm="1">
        <f t="array" ref="H100">SUMPRODUCT(--(FSE!M:M="TIMEOUT"), --ISNUMBER(SEARCH("Overflow/Underflow", FSE!AA:AA)), --(FSE!AB:AB=""))</f>
        <v>1</v>
      </c>
      <c r="I100" s="52" cm="1">
        <f t="array" ref="I100">SUMPRODUCT(--(FSE!O:O="Terminated"), --ISNUMBER(SEARCH("Overflow/Underflow", FSE!AA:AA)), --(FSE!AB:AB=""))</f>
        <v>0</v>
      </c>
      <c r="J100" s="52" cm="1">
        <f t="array" ref="J100">SUMPRODUCT(--(FSE!Q:Q="TIMEOUT"), --ISNUMBER(SEARCH("Overflow/Underflow", FSE!AA:AA)), --(FSE!AB:AB=""))</f>
        <v>4</v>
      </c>
      <c r="K100" s="52" cm="1">
        <f t="array" ref="K100">SUMPRODUCT(--(FSE!S:S="TIMEOUT"), --ISNUMBER(SEARCH("Overflow/Underflow", FSE!AA:AA)), --(FSE!AB:AB=""))</f>
        <v>3</v>
      </c>
      <c r="L100" s="52" cm="1">
        <f t="array" ref="L100">SUMPRODUCT(--(FSE!U:U="TIMEOUT"), --ISNUMBER(SEARCH("Overflow/Underflow", FSE!AA:AA)), --(FSE!AB:AB=""))</f>
        <v>2</v>
      </c>
      <c r="M100" s="52" cm="1">
        <f t="array" ref="M100">SUMPRODUCT(--(FSE!W:W="timeout"), --ISNUMBER(SEARCH("Overflow/Underflow", FSE!AA:AA)), --(FSE!AB:AB=""))</f>
        <v>0</v>
      </c>
      <c r="N100" s="52" cm="1">
        <f t="array" ref="N100">SUMPRODUCT(--(FSE!Y:Y="TIMEOUT"), --ISNUMBER(SEARCH("Overflow/Underflow", FSE!AA:AA)), --(FSE!AB:AB=""))</f>
        <v>1</v>
      </c>
      <c r="Q100" s="52"/>
      <c r="S100" s="52"/>
      <c r="U100" s="52"/>
      <c r="W100" s="52"/>
      <c r="Y100" s="52"/>
    </row>
    <row r="101" spans="2:25" x14ac:dyDescent="0.2">
      <c r="B101" s="50"/>
      <c r="C101" s="50"/>
      <c r="D101" s="34"/>
      <c r="E101" s="34" t="s">
        <v>830</v>
      </c>
      <c r="F101" s="53" cm="1">
        <f t="array" ref="F101">SUMPRODUCT((--((FSE!C:C="ERROR") + (FSE!C:C="OOM ERROR"))), --ISNUMBER(SEARCH("Overflow/Underflow", FSE!AA:AA)), --(FSE!AB:AB=""))</f>
        <v>0</v>
      </c>
      <c r="G101" s="53" cm="1">
        <f t="array" ref="G101">SUMPRODUCT((--((FSE!K:K="ERROR") + (FSE!K:K="OOM ERROR"))), --ISNUMBER(SEARCH("Overflow/Underflow", FSE!AA:AA)), --(FSE!AB:AB=""))</f>
        <v>0</v>
      </c>
      <c r="H101" s="53" cm="1">
        <f t="array" ref="H101">SUMPRODUCT((--((FSE!M:M="ERROR") + (FSE!M:M="OOM ERROR"))), --ISNUMBER(SEARCH("Overflow/Underflow", FSE!AA:AA)), --(FSE!AB:AB=""))</f>
        <v>0</v>
      </c>
      <c r="I101" s="53" cm="1">
        <f t="array" ref="I101">SUMPRODUCT(--(FSE!O:O="INTERNAL-ERROR"), --ISNUMBER(SEARCH("Overflow/Underflow", FSE!AA:AA)), --(FSE!AB:AB=""))</f>
        <v>0</v>
      </c>
      <c r="J101" s="53" cm="1">
        <f t="array" ref="J101">SUMPRODUCT(--(FSE!Q:Q="ERROR"), --ISNUMBER(SEARCH("Overflow/Underflow", FSE!AA:AA)), --(FSE!AB:AB=""))</f>
        <v>0</v>
      </c>
      <c r="K101" s="53" cm="1">
        <f t="array" ref="K101">SUMPRODUCT(--(FSE!S:S="ERROR"), --ISNUMBER(SEARCH("Overflow/Underflow", FSE!AA:AA)), --(FSE!AB:AB=""))</f>
        <v>0</v>
      </c>
      <c r="L101" s="53">
        <f>SUMPRODUCT(--(FSE!U:U="ERROR"), --ISNUMBER(SEARCH("Overflow/Underflow", FSE!AA:AA)), --(FSE!AB:AB=""))</f>
        <v>1</v>
      </c>
      <c r="M101" s="53" cm="1">
        <f t="array" ref="M101">SUMPRODUCT(--(FSE!W:W="error"), --ISNUMBER(SEARCH("Overflow/Underflow", FSE!AA:AA)), --(FSE!AB:AB=""))</f>
        <v>0</v>
      </c>
      <c r="N101" s="53" cm="1">
        <f t="array" ref="N101">SUMPRODUCT(--(FSE!Y:Y="ERROR"), --ISNUMBER(SEARCH("Overflow/Underflow", FSE!AA:AA)), --(FSE!AB:AB=""))</f>
        <v>2</v>
      </c>
      <c r="Q101" s="52"/>
      <c r="S101" s="52"/>
      <c r="U101" s="52"/>
      <c r="W101" s="52"/>
      <c r="Y101" s="52"/>
    </row>
    <row r="102" spans="2:25" x14ac:dyDescent="0.2">
      <c r="B102" s="1" t="s">
        <v>101</v>
      </c>
      <c r="C102" s="1"/>
      <c r="D102" s="2" cm="1">
        <f t="array" ref="D102">SUMPRODUCT(--ISNUMBER(SEARCH("Recursion", FSE!AA:AA)), --(FSE!AB:AB=""))</f>
        <v>24</v>
      </c>
      <c r="E102" s="51" t="s">
        <v>839</v>
      </c>
      <c r="F102" s="54" cm="1">
        <f t="array" ref="F102">SUMPRODUCT(
   --ISNUMBER(SEARCH("_T.c", FSE!B:B)),
  --(FSE!C:C="YES"),
  --ISNUMBER(SEARCH("Recursion", FSE!AA:AA)),
  --(FSE!AB:AB="")
) +
SUMPRODUCT(
   --ISNUMBER(SEARCH("_NT.c", FSE!B:B)),
  --(FSE!C:C="NO"),
  --ISNUMBER(SEARCH("Recursion", FSE!AA:AA)),
  --(FSE!AB:AB="")
)</f>
        <v>0</v>
      </c>
      <c r="G102" s="54" cm="1">
        <f t="array" ref="G102">SUMPRODUCT(
   --ISNUMBER(SEARCH("_T.c", FSE!B:B)),
  --(FSE!K:K="YES"),
  --ISNUMBER(SEARCH("Recursion", FSE!AA:AA)),
  --(FSE!AB:AB="")
) +
SUMPRODUCT(
   --ISNUMBER(SEARCH("_NT.c", FSE!B:B)),
  --(FSE!K:K="NO"),
  --ISNUMBER(SEARCH("Recursion", FSE!AA:AA)),
  --(FSE!AB:AB="")
)</f>
        <v>0</v>
      </c>
      <c r="H102" s="54" cm="1">
        <f t="array" ref="H102">SUMPRODUCT(
   --ISNUMBER(SEARCH("_T.c", FSE!B:B)),
  --(FSE!M:M="YES"),
  --ISNUMBER(SEARCH("Recursion", FSE!AA:AA)),
  --(FSE!AB:AB="")
) +
SUMPRODUCT(
   --ISNUMBER(SEARCH("_NT.c", FSE!B:B)),
  --(FSE!M:M="NO"),
  --ISNUMBER(SEARCH("Recursion", FSE!AA:AA)),
  --(FSE!AB:AB="")
)</f>
        <v>0</v>
      </c>
      <c r="I102" s="54" cm="1">
        <f t="array" ref="I102">SUMPRODUCT(
   --ISNUMBER(SEARCH("_T.c", FSE!B:B)),
  --(FSE!O:O=TRUE),
  --ISNUMBER(SEARCH("Recursion", FSE!AA:AA)),
  --(FSE!AB:AB="")
) +
SUMPRODUCT(
   --ISNUMBER(SEARCH("_NT.c", FSE!B:B)),
  --(FSE!O:O=FALSE),
  --ISNUMBER(SEARCH("Recursion", FSE!AA:AA)),
  --(FSE!AB:AB="")
)</f>
        <v>9</v>
      </c>
      <c r="J102" s="54" cm="1">
        <f t="array" ref="J102">SUMPRODUCT(
   --ISNUMBER(SEARCH("_T.c", FSE!B:B)),
  --(FSE!Q:Q="YES"),
  --ISNUMBER(SEARCH("Recursion", FSE!AA:AA)),
  --(FSE!AB:AB="")
) +
SUMPRODUCT(
   --ISNUMBER(SEARCH("_NT.c", FSE!B:B)),
  --(FSE!Q:Q="NO"),
  --ISNUMBER(SEARCH("Recursion", FSE!AA:AA)),
  --(FSE!AB:AB="")
)</f>
        <v>6</v>
      </c>
      <c r="K102" s="54" cm="1">
        <f t="array" ref="K102">SUMPRODUCT(
   --ISNUMBER(SEARCH("_T.c", FSE!B:B)),
  --(FSE!S:S=TRUE),
  --ISNUMBER(SEARCH("Recursion", FSE!AA:AA)),
  --(FSE!AB:AB="")
) +
SUMPRODUCT(
   --ISNUMBER(SEARCH("_NT.c", FSE!B:B)),
  --(FSE!S:S=FALSE),
  --ISNUMBER(SEARCH("Recursion", FSE!AA:AA)),
  --(FSE!AB:AB="")
)</f>
        <v>5</v>
      </c>
      <c r="L102" s="54" cm="1">
        <f t="array" ref="L102">SUMPRODUCT(
   --ISNUMBER(SEARCH("_T.c", FSE!B:B)),
  --(FSE!U:U=TRUE),
  --ISNUMBER(SEARCH("Recursion", FSE!AA:AA)),
  --(FSE!AB:AB="")
) +
SUMPRODUCT(
   --ISNUMBER(SEARCH("_NT.c", FSE!B:B)),
  --(FSE!U:U=FALSE),
  --ISNUMBER(SEARCH("Recursion", FSE!AA:AA)),
  --(FSE!AB:AB="")
)</f>
        <v>2</v>
      </c>
      <c r="M102" s="54" cm="1">
        <f t="array" ref="M102">SUMPRODUCT(
   --ISNUMBER(SEARCH("_T.c", FSE!B:B)),
  --(FSE!W:W="yes"),
  --ISNUMBER(SEARCH("Recursion", FSE!AA:AA)),
  --(FSE!AB:AB="")
) +
SUMPRODUCT(
   --ISNUMBER(SEARCH("_NT.c", FSE!B:B)),
  --(FSE!W:W="no"),
  --ISNUMBER(SEARCH("Recursion", FSE!AA:AA)),
  --(FSE!AB:AB="")
)</f>
        <v>3</v>
      </c>
      <c r="N102" s="54" cm="1">
        <f t="array" ref="N102">SUMPRODUCT(
   --ISNUMBER(SEARCH("_T.c", FSE!B:B)),
  --(FSE!Y:Y="YES"),
  --ISNUMBER(SEARCH("Recursion", FSE!AA:AA)),
  --(FSE!AB:AB="")
) +
SUMPRODUCT(
   --ISNUMBER(SEARCH("_NT.c", FSE!B:B)),
  --(FSE!Y:Y="NO"),
  --ISNUMBER(SEARCH("Recursion", FSE!AA:AA)),
  --(FSE!AB:AB="")
)</f>
        <v>11</v>
      </c>
      <c r="Q102" s="52"/>
      <c r="S102" s="52"/>
      <c r="U102" s="52"/>
      <c r="W102" s="52"/>
      <c r="Y102" s="52"/>
    </row>
    <row r="103" spans="2:25" x14ac:dyDescent="0.2">
      <c r="B103" s="1"/>
      <c r="C103" s="1"/>
      <c r="E103" s="2" t="s">
        <v>829</v>
      </c>
      <c r="F103" s="52" cm="1">
        <f t="array" ref="F103">SUMPRODUCT(
   --ISNUMBER(SEARCH("_T.c", FSE!B:B)),
  --(FSE!C:C="NO"),
  --ISNUMBER(SEARCH("Recursion", FSE!AA:AA)),
  --(FSE!AB:AB="")
) +
SUMPRODUCT(
   --ISNUMBER(SEARCH("_NT.c", FSE!B:B)),
  --(FSE!C:C="YES"),
  --ISNUMBER(SEARCH("Recursion", FSE!AA:AA)),
  --(FSE!AB:AB="")
)</f>
        <v>0</v>
      </c>
      <c r="G103" s="52" cm="1">
        <f t="array" ref="G103">SUMPRODUCT(
   --ISNUMBER(SEARCH("_T.c", FSE!B:B)),
  --(FSE!K:K="NO"),
  --ISNUMBER(SEARCH("Recursion", FSE!AA:AA)),
  --(FSE!AB:AB="")
) +
SUMPRODUCT(
   --ISNUMBER(SEARCH("_NT.c", FSE!B:B)),
  --(FSE!K:K="YES"),
  --ISNUMBER(SEARCH("Recursion", FSE!AA:AA)),
  --(FSE!AB:AB="")
)</f>
        <v>0</v>
      </c>
      <c r="H103" s="52" cm="1">
        <f t="array" ref="H103">SUMPRODUCT(
   --ISNUMBER(SEARCH("_T.c", FSE!B:B)),
  --(FSE!M:M="NO"),
  --ISNUMBER(SEARCH("Recursion", FSE!AA:AA)),
  --(FSE!AB:AB="")
) +
SUMPRODUCT(
   --ISNUMBER(SEARCH("_NT.c", FSE!B:B)),
  --(FSE!M:M="YES"),
  --ISNUMBER(SEARCH("Recursion", FSE!AA:AA)),
  --(FSE!AB:AB="")
)</f>
        <v>0</v>
      </c>
      <c r="I103" s="52" cm="1">
        <f t="array" ref="I103">SUMPRODUCT(
   --ISNUMBER(SEARCH("_T.c", FSE!B:B)),
  --(FSE!O:O=FALSE),
  --ISNUMBER(SEARCH("Recursion", FSE!AA:AA)),
  --(FSE!AB:AB="")
) +
SUMPRODUCT(
   --ISNUMBER(SEARCH("_NT.c", FSE!B:B)),
  --(FSE!O:O=TRUE),
  --ISNUMBER(SEARCH("Recursion", FSE!AA:AA)),
  --(FSE!AB:AB="")
)</f>
        <v>1</v>
      </c>
      <c r="J103" s="52" cm="1">
        <f t="array" ref="J103">SUMPRODUCT(
   --ISNUMBER(SEARCH("_T.c", FSE!B:B)),
  --(FSE!Q:Q="NO"),
  --ISNUMBER(SEARCH("Recursion", FSE!AA:AA)),
  --(FSE!AB:AB="")
) +
SUMPRODUCT(
   --ISNUMBER(SEARCH("_NT.c", FSE!B:B)),
  --(FSE!Q:Q="YES"),
  --ISNUMBER(SEARCH("Recursion", FSE!AA:AA)),
  --(FSE!AB:AB="")
)</f>
        <v>0</v>
      </c>
      <c r="K103" s="52" cm="1">
        <f t="array" ref="K103">SUMPRODUCT(
   --ISNUMBER(SEARCH("_T.c", FSE!B:B)),
  --(FSE!S:S=FALSE),
  --ISNUMBER(SEARCH("Recursion", FSE!AA:AA)),
  --(FSE!AB:AB="")
) +
SUMPRODUCT(
   --ISNUMBER(SEARCH("_NT.c", FSE!B:B)),
  --(FSE!S:S=TRUE),
  --ISNUMBER(SEARCH("Recursion", FSE!AA:AA)),
  --(FSE!AB:AB="")
)</f>
        <v>0</v>
      </c>
      <c r="L103" s="52" cm="1">
        <f t="array" ref="L103">SUMPRODUCT(
   --ISNUMBER(SEARCH("_T.c", FSE!B:B)),
  --(FSE!U:U=FALSE),
  --ISNUMBER(SEARCH("Recursion", FSE!AA:AA)),
  --(FSE!AB:AB="")
) +
SUMPRODUCT(
   --ISNUMBER(SEARCH("_NT.c", FSE!B:B)),
  --(FSE!U:U=TRUE),
  --ISNUMBER(SEARCH("Recursion", FSE!AA:AA)),
  --(FSE!AB:AB="")
)</f>
        <v>0</v>
      </c>
      <c r="M103" s="52" cm="1">
        <f t="array" ref="M103">SUMPRODUCT(
   --ISNUMBER(SEARCH("_T.c", FSE!B:B)),
  --(FSE!W:W="no"),
  --ISNUMBER(SEARCH("Recursion", FSE!AA:AA)),
  --(FSE!AB:AB="")
) +
SUMPRODUCT(
   --ISNUMBER(SEARCH("_NT.c", FSE!B:B)),
  --(FSE!W:W="yes"),
  --ISNUMBER(SEARCH("Recursion", FSE!AA:AA)),
  --(FSE!AB:AB="")
)</f>
        <v>2</v>
      </c>
      <c r="N103" s="52" cm="1">
        <f t="array" ref="N103">SUMPRODUCT(
   --ISNUMBER(SEARCH("_T.c", FSE!B:B)),
  --(FSE!Y:Y="NO"),
  --ISNUMBER(SEARCH("Recursion", FSE!AA:AA)),
  --(FSE!AB:AB="")
) +
SUMPRODUCT(
   --ISNUMBER(SEARCH("_NT.c", FSE!B:B)),
  --(FSE!Y:Y="YES"),
  --ISNUMBER(SEARCH("Recursion", FSE!AA:AA)),
  --(FSE!AB:AB="")
)</f>
        <v>11</v>
      </c>
      <c r="Q103" s="52"/>
      <c r="S103" s="52"/>
      <c r="U103" s="52"/>
      <c r="W103" s="52"/>
      <c r="Y103" s="52"/>
    </row>
    <row r="104" spans="2:25" x14ac:dyDescent="0.2">
      <c r="B104" s="1"/>
      <c r="C104" s="1"/>
      <c r="E104" s="2" t="s">
        <v>832</v>
      </c>
      <c r="F104" s="52" cm="1">
        <f t="array" ref="F104">SUMPRODUCT(--(FSE!C:C="MAYBE"), --ISNUMBER(SEARCH("Recursion", FSE!AA:AA)), --(FSE!AB:AB=""))</f>
        <v>24</v>
      </c>
      <c r="G104" s="52" cm="1">
        <f t="array" ref="G104">SUMPRODUCT(--(FSE!K:K="MAYBE"), --ISNUMBER(SEARCH("Recursion", FSE!AA:AA)), --(FSE!AB:AB=""))</f>
        <v>24</v>
      </c>
      <c r="H104" s="52" cm="1">
        <f t="array" ref="H104">SUMPRODUCT(--(FSE!M:M="MAYBE"), --ISNUMBER(SEARCH("Recursion", FSE!AA:AA)), --(FSE!AB:AB=""))</f>
        <v>24</v>
      </c>
      <c r="I104" s="52" cm="1">
        <f t="array" ref="I104">SUMPRODUCT(--(FSE!O:O="INCONCLUSIVE"), --ISNUMBER(SEARCH("Recursion", FSE!AA:AA)), --(FSE!AB:AB=""))</f>
        <v>14</v>
      </c>
      <c r="J104" s="52" cm="1">
        <f t="array" ref="J104">SUMPRODUCT(--(FSE!Q:Q="MAYBE"), --ISNUMBER(SEARCH("Recursion", FSE!AA:AA)), --(FSE!AB:AB=""))</f>
        <v>18</v>
      </c>
      <c r="K104" s="52" cm="1">
        <f t="array" ref="K104">SUMPRODUCT(--(FSE!S:S="UNKNOWN"), --ISNUMBER(SEARCH("Recursion", FSE!AA:AA)), --(FSE!AB:AB=""))</f>
        <v>17</v>
      </c>
      <c r="L104" s="52" cm="1">
        <f t="array" ref="L104">SUMPRODUCT(--(FSE!U:U="UNKNOWN"), --ISNUMBER(SEARCH("Recursion", FSE!AA:AA)), --(FSE!AB:AB=""))</f>
        <v>2</v>
      </c>
      <c r="M104" s="52" cm="1">
        <f t="array" ref="M104">SUMPRODUCT(--(FSE!W:W="unknown"), --ISNUMBER(SEARCH("Recursion", FSE!AA:AA)), --(FSE!AB:AB=""))</f>
        <v>0</v>
      </c>
      <c r="N104" s="52" cm="1">
        <f t="array" ref="N104">SUMPRODUCT(--(FSE!Y:Y="MAYBE"), --ISNUMBER(SEARCH("Recursion", FSE!AA:AA)), --(FSE!AB:AB=""))</f>
        <v>0</v>
      </c>
      <c r="Q104" s="52"/>
      <c r="S104" s="52"/>
      <c r="U104" s="52"/>
      <c r="W104" s="52"/>
      <c r="Y104" s="52"/>
    </row>
    <row r="105" spans="2:25" x14ac:dyDescent="0.2">
      <c r="B105" s="1"/>
      <c r="C105" s="1"/>
      <c r="E105" s="2" t="s">
        <v>831</v>
      </c>
      <c r="F105" s="52" cm="1">
        <f t="array" ref="F105">SUMPRODUCT(--(FSE!C:C="TIMEOUT"), --ISNUMBER(SEARCH("Recursion", FSE!AA:AA)), --(FSE!AB:AB=""))</f>
        <v>0</v>
      </c>
      <c r="G105" s="52" cm="1">
        <f t="array" ref="G105">SUMPRODUCT(--(FSE!K:K="TIMEOUT"), --ISNUMBER(SEARCH("Recursion", FSE!AA:AA)), --(FSE!AB:AB=""))</f>
        <v>0</v>
      </c>
      <c r="H105" s="52" cm="1">
        <f t="array" ref="H105">SUMPRODUCT(--(FSE!M:M="TIMEOUT"), --ISNUMBER(SEARCH("Recursion", FSE!AA:AA)), --(FSE!AB:AB=""))</f>
        <v>0</v>
      </c>
      <c r="I105" s="52" cm="1">
        <f t="array" ref="I105">SUMPRODUCT(--(FSE!O:O="Terminated"), --ISNUMBER(SEARCH("Recursion", FSE!AA:AA)), --(FSE!AB:AB=""))</f>
        <v>0</v>
      </c>
      <c r="J105" s="52" cm="1">
        <f t="array" ref="J105">SUMPRODUCT(--(FSE!Q:Q="TIMEOUT"), --ISNUMBER(SEARCH("Recursion", FSE!AA:AA)), --(FSE!AB:AB=""))</f>
        <v>0</v>
      </c>
      <c r="K105" s="52" cm="1">
        <f t="array" ref="K105">SUMPRODUCT(--(FSE!S:S="TIMEOUT"), --ISNUMBER(SEARCH("Recursion", FSE!AA:AA)), --(FSE!AB:AB=""))</f>
        <v>0</v>
      </c>
      <c r="L105" s="52" cm="1">
        <f t="array" ref="L105">SUMPRODUCT(--(FSE!U:U="TIMEOUT"), --ISNUMBER(SEARCH("Recursion", FSE!AA:AA)), --(FSE!AB:AB=""))</f>
        <v>0</v>
      </c>
      <c r="M105" s="52" cm="1">
        <f t="array" ref="M105">SUMPRODUCT(--(FSE!W:W="timeout"), --ISNUMBER(SEARCH("Recursion", FSE!AA:AA)), --(FSE!AB:AB=""))</f>
        <v>0</v>
      </c>
      <c r="N105" s="52" cm="1">
        <f t="array" ref="N105">SUMPRODUCT(--(FSE!Y:Y="TIMEOUT"), --ISNUMBER(SEARCH("Recursion", FSE!AA:AA)), --(FSE!AB:AB=""))</f>
        <v>0</v>
      </c>
      <c r="Q105" s="52"/>
      <c r="S105" s="52"/>
      <c r="U105" s="52"/>
      <c r="W105" s="52"/>
      <c r="Y105" s="52"/>
    </row>
    <row r="106" spans="2:25" ht="21" thickBot="1" x14ac:dyDescent="0.25">
      <c r="B106" s="38"/>
      <c r="C106" s="38"/>
      <c r="E106" s="9" t="s">
        <v>830</v>
      </c>
      <c r="F106" s="55" cm="1">
        <f t="array" ref="F106">SUMPRODUCT((--((FSE!C:C="ERROR") + (FSE!C:C="OOM ERROR"))), --ISNUMBER(SEARCH("Recursion", FSE!AA:AA)), --(FSE!AB:AB=""))</f>
        <v>0</v>
      </c>
      <c r="G106" s="55" cm="1">
        <f t="array" ref="G106">SUMPRODUCT((--((FSE!K:K="ERROR") + (FSE!K:K="OOM ERROR"))), --ISNUMBER(SEARCH("Recursion", FSE!AA:AA)), --(FSE!AB:AB=""))</f>
        <v>0</v>
      </c>
      <c r="H106" s="55" cm="1">
        <f t="array" ref="H106">SUMPRODUCT((--((FSE!M:M="ERROR") + (FSE!M:M="OOM ERROR"))), --ISNUMBER(SEARCH("Recursion", FSE!AA:AA)), --(FSE!AB:AB=""))</f>
        <v>0</v>
      </c>
      <c r="I106" s="55" cm="1">
        <f t="array" ref="I106">SUMPRODUCT(--(FSE!O:O="INTERNAL-ERROR"), --ISNUMBER(SEARCH("Recursion", FSE!AA:AA)), --(FSE!AB:AB=""))</f>
        <v>0</v>
      </c>
      <c r="J106" s="55" cm="1">
        <f t="array" ref="J106">SUMPRODUCT(--(FSE!Q:Q="ERROR"), --ISNUMBER(SEARCH("Recursion", FSE!AA:AA)), --(FSE!AB:AB=""))</f>
        <v>0</v>
      </c>
      <c r="K106" s="55" cm="1">
        <f t="array" ref="K106">SUMPRODUCT(--(FSE!S:S="ERROR"), --ISNUMBER(SEARCH("Recursion", FSE!AA:AA)), --(FSE!AB:AB=""))</f>
        <v>2</v>
      </c>
      <c r="L106" s="55" cm="1">
        <f t="array" ref="L106">SUMPRODUCT(--(FSE!U:U="ERROR"), --ISNUMBER(SEARCH("Recursion", FSE!AA:AA)), --(FSE!AB:AB=""))</f>
        <v>20</v>
      </c>
      <c r="M106" s="55" cm="1">
        <f t="array" ref="M106">SUMPRODUCT(--(FSE!W:W="error"), --ISNUMBER(SEARCH("Recursion", FSE!AA:AA)), --(FSE!AB:AB=""))</f>
        <v>19</v>
      </c>
      <c r="N106" s="55" cm="1">
        <f t="array" ref="N106">SUMPRODUCT(--(FSE!Y:Y="ERROR"), --ISNUMBER(SEARCH("Recursion", FSE!AA:AA)), --(FSE!AB:AB=""))</f>
        <v>2</v>
      </c>
      <c r="Q106" s="52"/>
      <c r="S106" s="52"/>
      <c r="U106" s="52"/>
      <c r="W106" s="52"/>
      <c r="Y106" s="52"/>
    </row>
    <row r="107" spans="2:25" x14ac:dyDescent="0.2">
      <c r="B107" s="12" t="s">
        <v>862</v>
      </c>
      <c r="C107" s="11"/>
      <c r="D107" s="57">
        <f t="shared" ref="D107" si="7">SUM(D77,D82,D87,D92,D97,D102)</f>
        <v>91</v>
      </c>
      <c r="E107" s="51" t="s">
        <v>839</v>
      </c>
      <c r="F107" s="54">
        <f t="shared" ref="F107" si="8">SUM(F77,F82,F87,F92,F97,F102)</f>
        <v>38</v>
      </c>
      <c r="G107" s="54">
        <f>SUM(G77,G82,G87,G92,G97,G102)</f>
        <v>25</v>
      </c>
      <c r="H107" s="54">
        <f t="shared" ref="H107" si="9">SUM(H77,H82,H87,H92,H97,H102)</f>
        <v>41</v>
      </c>
      <c r="I107" s="54">
        <f>SUM(I77,I82,I87,I92,I97,I102)</f>
        <v>52</v>
      </c>
      <c r="J107" s="54">
        <f t="shared" ref="J107:J108" si="10">SUM(J77,J82,J87,J92,J97,J102)</f>
        <v>17</v>
      </c>
      <c r="K107" s="54">
        <f t="shared" ref="K107:N111" si="11">SUM(K77,K82,K87,K92,K97,K102)</f>
        <v>28</v>
      </c>
      <c r="L107" s="54">
        <f t="shared" si="11"/>
        <v>7</v>
      </c>
      <c r="M107" s="54">
        <f t="shared" si="11"/>
        <v>17</v>
      </c>
      <c r="N107" s="54">
        <f t="shared" si="11"/>
        <v>43</v>
      </c>
      <c r="Q107" s="52"/>
      <c r="S107" s="52"/>
      <c r="U107" s="52"/>
      <c r="W107" s="52"/>
      <c r="Y107" s="52"/>
    </row>
    <row r="108" spans="2:25" x14ac:dyDescent="0.2">
      <c r="B108" s="1"/>
      <c r="C108" s="1"/>
      <c r="D108" s="56"/>
      <c r="E108" s="2" t="s">
        <v>829</v>
      </c>
      <c r="F108" s="52">
        <f t="shared" ref="F108:F111" si="12">SUM(F78,F83,F88,F93,F98,F103)</f>
        <v>0</v>
      </c>
      <c r="G108" s="52">
        <f>SUM(G78,G83,G88,G93,G98,G103)</f>
        <v>0</v>
      </c>
      <c r="H108" s="52">
        <f>SUM(H78,H83,H88,H93,H98,H103)</f>
        <v>0</v>
      </c>
      <c r="I108" s="52">
        <f>SUM(I78,I83,I88,I93,I98,I103)</f>
        <v>11</v>
      </c>
      <c r="J108" s="52">
        <f t="shared" si="10"/>
        <v>3</v>
      </c>
      <c r="K108" s="52">
        <f t="shared" si="11"/>
        <v>0</v>
      </c>
      <c r="L108" s="52">
        <f t="shared" si="11"/>
        <v>4</v>
      </c>
      <c r="M108" s="52">
        <f t="shared" si="11"/>
        <v>2</v>
      </c>
      <c r="N108" s="52">
        <f t="shared" si="11"/>
        <v>27</v>
      </c>
      <c r="Q108" s="52"/>
      <c r="S108" s="52"/>
      <c r="U108" s="52"/>
      <c r="W108" s="52"/>
      <c r="Y108" s="52"/>
    </row>
    <row r="109" spans="2:25" x14ac:dyDescent="0.2">
      <c r="D109" s="52"/>
      <c r="E109" s="2" t="s">
        <v>832</v>
      </c>
      <c r="F109" s="52">
        <f t="shared" si="12"/>
        <v>24</v>
      </c>
      <c r="G109" s="52">
        <f>SUM(G79,G84,G89,G94,G99,G104)</f>
        <v>24</v>
      </c>
      <c r="H109" s="52">
        <f>SUM(H79,H84,H89,H94,H99,H104)</f>
        <v>24</v>
      </c>
      <c r="I109" s="52">
        <f>SUM(I79,I84,I89,I94,I99,I104)</f>
        <v>28</v>
      </c>
      <c r="J109" s="52">
        <f t="shared" ref="J109" si="13">SUM(J79,J84,J89,J94,J99,J104)</f>
        <v>65</v>
      </c>
      <c r="K109" s="52">
        <f t="shared" si="11"/>
        <v>38</v>
      </c>
      <c r="L109" s="52">
        <f t="shared" si="11"/>
        <v>43</v>
      </c>
      <c r="M109" s="52">
        <f t="shared" si="11"/>
        <v>49</v>
      </c>
      <c r="N109" s="52">
        <f t="shared" si="11"/>
        <v>0</v>
      </c>
      <c r="Q109" s="52"/>
      <c r="S109" s="52"/>
      <c r="U109" s="52"/>
      <c r="W109" s="52"/>
      <c r="Y109" s="52"/>
    </row>
    <row r="110" spans="2:25" x14ac:dyDescent="0.2">
      <c r="D110" s="52"/>
      <c r="E110" s="2" t="s">
        <v>831</v>
      </c>
      <c r="F110" s="52">
        <f t="shared" si="12"/>
        <v>29</v>
      </c>
      <c r="G110" s="52">
        <f>SUM(G80,G85,G90,G95,G100,G105)</f>
        <v>32</v>
      </c>
      <c r="H110" s="52">
        <f>SUM(H80,H85,H90,H95,H100,H105)</f>
        <v>26</v>
      </c>
      <c r="I110" s="52">
        <f>SUM(I80,I85,I90,I95,I100,I105)</f>
        <v>0</v>
      </c>
      <c r="J110" s="52">
        <f t="shared" ref="J110:J111" si="14">SUM(J80,J85,J90,J95,J100,J105)</f>
        <v>6</v>
      </c>
      <c r="K110" s="52">
        <f t="shared" si="11"/>
        <v>21</v>
      </c>
      <c r="L110" s="52">
        <f t="shared" si="11"/>
        <v>2</v>
      </c>
      <c r="M110" s="52">
        <f t="shared" si="11"/>
        <v>0</v>
      </c>
      <c r="N110" s="52">
        <f t="shared" si="11"/>
        <v>3</v>
      </c>
      <c r="O110" s="2" t="s">
        <v>891</v>
      </c>
      <c r="P110" s="2" t="s">
        <v>830</v>
      </c>
      <c r="Q110" s="52"/>
      <c r="S110" s="52"/>
      <c r="U110" s="52"/>
      <c r="W110" s="52"/>
      <c r="Y110" s="52"/>
    </row>
    <row r="111" spans="2:25" ht="21" thickBot="1" x14ac:dyDescent="0.25">
      <c r="B111" s="9"/>
      <c r="C111" s="9"/>
      <c r="D111" s="55"/>
      <c r="E111" s="9" t="s">
        <v>830</v>
      </c>
      <c r="F111" s="55">
        <f t="shared" si="12"/>
        <v>0</v>
      </c>
      <c r="G111" s="99">
        <f>SUM(G81,G86,G91,G96,G101,G106)</f>
        <v>10</v>
      </c>
      <c r="H111" s="55">
        <f>SUM(H81,H86,H91,H96,H101,H106)</f>
        <v>0</v>
      </c>
      <c r="I111" s="55">
        <f>SUM(I81,I86,I91,I96,I101,I106)</f>
        <v>0</v>
      </c>
      <c r="J111" s="55">
        <f t="shared" si="14"/>
        <v>0</v>
      </c>
      <c r="K111" s="55">
        <f t="shared" si="11"/>
        <v>4</v>
      </c>
      <c r="L111" s="55">
        <f t="shared" si="11"/>
        <v>35</v>
      </c>
      <c r="M111" s="55">
        <f t="shared" si="11"/>
        <v>23</v>
      </c>
      <c r="N111" s="55">
        <f t="shared" si="11"/>
        <v>18</v>
      </c>
      <c r="O111" s="75">
        <f>O81+O91+O96</f>
        <v>8</v>
      </c>
      <c r="P111" s="75">
        <f>P81+P91+P96</f>
        <v>2</v>
      </c>
      <c r="Q111" s="52"/>
      <c r="S111" s="52"/>
      <c r="U111" s="52"/>
      <c r="W111" s="52"/>
      <c r="Y111" s="52"/>
    </row>
    <row r="112" spans="2:25" x14ac:dyDescent="0.2">
      <c r="E112" s="2" t="s">
        <v>864</v>
      </c>
      <c r="F112" s="52">
        <f>SUM(F108:F111)</f>
        <v>53</v>
      </c>
      <c r="G112" s="52">
        <f>SUM(G108:G111)</f>
        <v>66</v>
      </c>
      <c r="H112" s="52">
        <f>SUM(H108:H111)</f>
        <v>50</v>
      </c>
      <c r="I112" s="58">
        <f t="shared" ref="I112" si="15">SUM(I108:I111)</f>
        <v>39</v>
      </c>
      <c r="J112" s="52">
        <f>SUM(J108:J111)</f>
        <v>74</v>
      </c>
      <c r="K112" s="58">
        <f>SUM(K108:K111)</f>
        <v>63</v>
      </c>
      <c r="L112" s="58">
        <f>SUM(L108:L111)</f>
        <v>84</v>
      </c>
      <c r="M112" s="52">
        <f>SUM(M108:M111)</f>
        <v>74</v>
      </c>
      <c r="N112" s="52">
        <f>SUM(N108:N111)</f>
        <v>48</v>
      </c>
      <c r="Q112" s="52"/>
      <c r="S112" s="52"/>
      <c r="U112" s="52"/>
      <c r="W112" s="52"/>
      <c r="Y112" s="52"/>
    </row>
    <row r="113" spans="3:25" x14ac:dyDescent="0.2">
      <c r="Q113" s="52"/>
      <c r="S113" s="52"/>
      <c r="U113" s="52"/>
      <c r="W113" s="52"/>
      <c r="Y113" s="52"/>
    </row>
    <row r="114" spans="3:25" x14ac:dyDescent="0.2">
      <c r="Q114" s="52"/>
      <c r="S114" s="52"/>
      <c r="U114" s="52"/>
      <c r="W114" s="52"/>
      <c r="Y114" s="52"/>
    </row>
    <row r="115" spans="3:25" x14ac:dyDescent="0.2">
      <c r="Q115" s="52"/>
      <c r="S115" s="52"/>
      <c r="U115" s="52"/>
      <c r="W115" s="52"/>
      <c r="Y115" s="52"/>
    </row>
    <row r="116" spans="3:25" x14ac:dyDescent="0.2">
      <c r="Q116" s="52"/>
      <c r="S116" s="58"/>
      <c r="U116" s="58"/>
      <c r="W116" s="52"/>
      <c r="Y116" s="52"/>
    </row>
    <row r="118" spans="3:25" x14ac:dyDescent="0.2">
      <c r="C118" s="1"/>
      <c r="D118" s="1"/>
      <c r="E118" s="1"/>
    </row>
    <row r="119" spans="3:25" x14ac:dyDescent="0.2">
      <c r="C119" s="1"/>
      <c r="D119" s="1"/>
      <c r="E119" s="1"/>
    </row>
    <row r="120" spans="3:25" x14ac:dyDescent="0.2">
      <c r="C120" s="1"/>
      <c r="D120" s="1"/>
      <c r="E120" s="1"/>
    </row>
    <row r="121" spans="3:25" x14ac:dyDescent="0.2">
      <c r="C121" s="1"/>
      <c r="D121" s="1"/>
      <c r="E121" s="1"/>
    </row>
    <row r="122" spans="3:25" x14ac:dyDescent="0.2">
      <c r="C122" s="1"/>
      <c r="D122" s="1"/>
      <c r="E122" s="1"/>
    </row>
    <row r="123" spans="3:25" x14ac:dyDescent="0.2">
      <c r="C123" s="1"/>
      <c r="D123" s="1"/>
      <c r="E123" s="1"/>
    </row>
    <row r="124" spans="3:25" x14ac:dyDescent="0.2">
      <c r="C124" s="1"/>
      <c r="D124" s="1"/>
      <c r="E124" s="1"/>
    </row>
    <row r="125" spans="3:25" x14ac:dyDescent="0.2">
      <c r="C125" s="1"/>
      <c r="D125" s="1"/>
      <c r="E1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TermCOMP</vt:lpstr>
      <vt:lpstr>FSE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Fathi</dc:creator>
  <cp:lastModifiedBy>Negar Fathi</cp:lastModifiedBy>
  <dcterms:created xsi:type="dcterms:W3CDTF">2023-10-15T23:46:42Z</dcterms:created>
  <dcterms:modified xsi:type="dcterms:W3CDTF">2026-02-09T19:28:06Z</dcterms:modified>
</cp:coreProperties>
</file>